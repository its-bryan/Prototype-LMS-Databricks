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660" tabRatio="500" firstSheet="0" activeTab="1" autoFilterDateGrouping="1"/>
  </bookViews>
  <sheets>
    <sheet name="INPUT_Baseline" sheetId="1" state="visible" r:id="rId1"/>
    <sheet name="Summary" sheetId="2" state="visible" r:id="rId2"/>
    <sheet name="1_DataCleanup" sheetId="3" state="visible" r:id="rId3"/>
    <sheet name="2_CallTree" sheetId="4" state="visible" r:id="rId4"/>
    <sheet name="3_HRDVerbiage" sheetId="5" state="visible" r:id="rId5"/>
    <sheet name="4_HRDWarmTransfer" sheetId="6" state="visible" r:id="rId6"/>
    <sheet name="5_MMRPage1" sheetId="7" state="visible" r:id="rId7"/>
    <sheet name="6_MMRPage2" sheetId="8" state="visible" r:id="rId8"/>
    <sheet name="7-8_Branch-FasterContact" sheetId="9" state="visible" r:id="rId9"/>
    <sheet name="9-11_Branch-BetterConversion" sheetId="10" state="visible" r:id="rId10"/>
    <sheet name="12-13_Bodyshop" sheetId="11" state="visible" r:id="rId11"/>
  </sheets>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0.00"/>
    <numFmt numFmtId="167" formatCode="_(* #,##0.00_);_(* \(#,##0.00\);_(* \-??_);_(@_)"/>
  </numFmts>
  <fonts count="10">
    <font>
      <name val="Calibri"/>
      <charset val="1"/>
      <family val="2"/>
      <color theme="1"/>
      <sz val="11"/>
    </font>
    <font>
      <name val="Calibri"/>
      <charset val="1"/>
      <family val="2"/>
      <b val="1"/>
      <sz val="11"/>
    </font>
    <font>
      <name val="Calibri"/>
      <charset val="1"/>
      <family val="2"/>
      <i val="1"/>
      <color theme="1"/>
      <sz val="11"/>
    </font>
    <font>
      <name val="Calibri"/>
      <charset val="1"/>
      <family val="2"/>
      <i val="1"/>
      <sz val="11"/>
    </font>
    <font>
      <name val="Calibri"/>
      <charset val="1"/>
      <family val="2"/>
      <b val="1"/>
      <sz val="14"/>
    </font>
    <font>
      <name val="Calibri"/>
      <charset val="1"/>
      <family val="2"/>
      <b val="1"/>
      <color theme="1"/>
      <sz val="11"/>
    </font>
    <font>
      <name val="Cambria"/>
      <family val="1"/>
      <b val="1"/>
      <sz val="11"/>
    </font>
    <font>
      <name val="Cambria"/>
      <family val="1"/>
      <sz val="11"/>
    </font>
    <font>
      <name val="Calibri"/>
      <charset val="1"/>
      <family val="2"/>
      <sz val="11"/>
    </font>
    <font>
      <name val="Calibri"/>
      <charset val="1"/>
      <family val="2"/>
      <color theme="1"/>
      <sz val="11"/>
    </font>
  </fonts>
  <fills count="8">
    <fill>
      <patternFill/>
    </fill>
    <fill>
      <patternFill patternType="gray125"/>
    </fill>
    <fill>
      <patternFill patternType="solid">
        <fgColor rgb="FFFFF2CC"/>
        <bgColor rgb="FFFFF3CC"/>
      </patternFill>
    </fill>
    <fill>
      <patternFill patternType="solid">
        <fgColor rgb="FFD9EAD3"/>
        <bgColor rgb="FFD9EAD4"/>
      </patternFill>
    </fill>
    <fill>
      <patternFill patternType="solid">
        <fgColor rgb="FFFFF3CC"/>
        <bgColor rgb="FFFFF2CC"/>
      </patternFill>
    </fill>
    <fill>
      <patternFill patternType="solid">
        <fgColor rgb="FFD9EAD4"/>
        <bgColor rgb="FFD9EAD3"/>
      </patternFill>
    </fill>
    <fill>
      <patternFill patternType="solid">
        <fgColor rgb="FFC6F0CE"/>
        <bgColor rgb="FFC6EFCE"/>
      </patternFill>
    </fill>
    <fill>
      <patternFill patternType="solid">
        <fgColor rgb="FFC6EFCE"/>
        <bgColor rgb="FFC6F0CE"/>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right/>
      <top style="thin">
        <color auto="1"/>
      </top>
      <bottom/>
      <diagonal/>
    </border>
  </borders>
  <cellStyleXfs count="2">
    <xf numFmtId="0" fontId="9" fillId="0" borderId="0"/>
    <xf numFmtId="167" fontId="9" fillId="0" borderId="0"/>
  </cellStyleXfs>
  <cellXfs count="72">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3" fontId="0" fillId="2" borderId="1" pivotButton="0" quotePrefix="0" xfId="0"/>
    <xf numFmtId="164" fontId="0" fillId="2" borderId="1" pivotButton="0" quotePrefix="0" xfId="0"/>
    <xf numFmtId="0" fontId="1" fillId="0" borderId="1" pivotButton="0" quotePrefix="0" xfId="0"/>
    <xf numFmtId="3" fontId="0" fillId="0" borderId="0" pivotButton="0" quotePrefix="0" xfId="0"/>
    <xf numFmtId="165" fontId="0" fillId="2" borderId="1" pivotButton="0" quotePrefix="0" xfId="0"/>
    <xf numFmtId="0" fontId="0" fillId="2" borderId="1" pivotButton="0" quotePrefix="0" xfId="0"/>
    <xf numFmtId="0" fontId="3" fillId="0" borderId="0" pivotButton="0" quotePrefix="0" xfId="0"/>
    <xf numFmtId="164" fontId="1" fillId="2" borderId="1" pivotButton="0" quotePrefix="0" xfId="0"/>
    <xf numFmtId="0" fontId="0" fillId="0" borderId="0" applyAlignment="1" pivotButton="0" quotePrefix="0" xfId="0">
      <alignment wrapText="1"/>
    </xf>
    <xf numFmtId="0" fontId="4" fillId="0" borderId="0" pivotButton="0" quotePrefix="0" xfId="0"/>
    <xf numFmtId="3" fontId="0" fillId="0" borderId="1" pivotButton="0" quotePrefix="0" xfId="0"/>
    <xf numFmtId="165" fontId="0" fillId="0" borderId="0" pivotButton="0" quotePrefix="0" xfId="0"/>
    <xf numFmtId="164" fontId="0" fillId="0" borderId="1" pivotButton="0" quotePrefix="0" xfId="0"/>
    <xf numFmtId="0" fontId="0" fillId="3" borderId="1" pivotButton="0" quotePrefix="0" xfId="0"/>
    <xf numFmtId="165" fontId="0" fillId="3" borderId="1" pivotButton="0" quotePrefix="0" xfId="0"/>
    <xf numFmtId="166" fontId="0" fillId="0" borderId="1" pivotButton="0" quotePrefix="0" xfId="0"/>
    <xf numFmtId="9" fontId="0" fillId="0" borderId="1" pivotButton="0" quotePrefix="0" xfId="0"/>
    <xf numFmtId="0" fontId="1" fillId="0" borderId="1" applyAlignment="1" pivotButton="0" quotePrefix="0" xfId="0">
      <alignment horizontal="center" vertical="top" wrapText="1"/>
    </xf>
    <xf numFmtId="0" fontId="1" fillId="2" borderId="1" applyAlignment="1" pivotButton="0" quotePrefix="0" xfId="0">
      <alignment wrapText="1"/>
    </xf>
    <xf numFmtId="0" fontId="5" fillId="4" borderId="1" applyAlignment="1" pivotButton="0" quotePrefix="0" xfId="0">
      <alignment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0" borderId="0" applyAlignment="1" pivotButton="0" quotePrefix="0" xfId="0">
      <alignment vertical="top" wrapText="1"/>
    </xf>
    <xf numFmtId="0" fontId="0" fillId="3" borderId="1" applyAlignment="1" pivotButton="0" quotePrefix="0" xfId="0">
      <alignment wrapText="1"/>
    </xf>
    <xf numFmtId="10" fontId="0" fillId="3" borderId="1" pivotButton="0" quotePrefix="0" xfId="0"/>
    <xf numFmtId="166" fontId="0" fillId="5" borderId="1" pivotButton="0" quotePrefix="0" xfId="0"/>
    <xf numFmtId="0" fontId="0" fillId="5" borderId="1" pivotButton="0" quotePrefix="0" xfId="0"/>
    <xf numFmtId="3" fontId="0" fillId="3" borderId="1" pivotButton="0" quotePrefix="0" xfId="0"/>
    <xf numFmtId="17" fontId="0" fillId="0" borderId="1" applyAlignment="1" pivotButton="0" quotePrefix="0" xfId="0">
      <alignment horizontal="center" vertical="top"/>
    </xf>
    <xf numFmtId="0" fontId="1" fillId="3" borderId="0" pivotButton="0" quotePrefix="0" xfId="0"/>
    <xf numFmtId="3" fontId="1" fillId="3" borderId="0" pivotButton="0" quotePrefix="0" xfId="0"/>
    <xf numFmtId="10" fontId="1" fillId="3" borderId="0" pivotButton="0" quotePrefix="0" xfId="0"/>
    <xf numFmtId="166" fontId="1" fillId="3" borderId="0" pivotButton="0" quotePrefix="0" xfId="0"/>
    <xf numFmtId="3" fontId="0" fillId="2" borderId="2" pivotButton="0" quotePrefix="0" xfId="0"/>
    <xf numFmtId="0" fontId="0" fillId="0" borderId="3" pivotButton="0" quotePrefix="0" xfId="0"/>
    <xf numFmtId="0" fontId="0" fillId="0" borderId="4" pivotButton="0" quotePrefix="0" xfId="0"/>
    <xf numFmtId="164" fontId="0" fillId="0" borderId="4" pivotButton="0" quotePrefix="0" xfId="0"/>
    <xf numFmtId="0" fontId="0" fillId="0" borderId="5" pivotButton="0" quotePrefix="0" xfId="0"/>
    <xf numFmtId="165" fontId="0" fillId="0" borderId="5" pivotButton="0" quotePrefix="0" xfId="0"/>
    <xf numFmtId="0" fontId="6" fillId="0" borderId="0" pivotButton="0" quotePrefix="0" xfId="0"/>
    <xf numFmtId="0" fontId="7" fillId="2" borderId="1" pivotButton="0" quotePrefix="0" xfId="0"/>
    <xf numFmtId="164" fontId="7" fillId="2" borderId="1" pivotButton="0" quotePrefix="0" xfId="0"/>
    <xf numFmtId="0" fontId="7" fillId="2" borderId="0" pivotButton="0" quotePrefix="0" xfId="0"/>
    <xf numFmtId="3" fontId="7" fillId="2" borderId="1" pivotButton="0" quotePrefix="0" xfId="0"/>
    <xf numFmtId="0" fontId="7" fillId="0" borderId="1" pivotButton="0" quotePrefix="0" xfId="0"/>
    <xf numFmtId="164" fontId="7" fillId="0" borderId="1" pivotButton="0" quotePrefix="0" xfId="0"/>
    <xf numFmtId="0" fontId="7" fillId="0" borderId="0" pivotButton="0" quotePrefix="0" xfId="0"/>
    <xf numFmtId="3" fontId="7" fillId="0" borderId="1" pivotButton="0" quotePrefix="0" xfId="0"/>
    <xf numFmtId="0" fontId="6" fillId="0" borderId="1" pivotButton="0" quotePrefix="0" xfId="0"/>
    <xf numFmtId="165" fontId="0" fillId="0" borderId="1" pivotButton="0" quotePrefix="0" xfId="0"/>
    <xf numFmtId="0" fontId="7" fillId="3" borderId="0" pivotButton="0" quotePrefix="0" xfId="0"/>
    <xf numFmtId="0" fontId="8" fillId="0" borderId="0" pivotButton="0" quotePrefix="0" xfId="0"/>
    <xf numFmtId="3" fontId="7" fillId="0" borderId="1" pivotButton="0" quotePrefix="0" xfId="1"/>
    <xf numFmtId="0" fontId="8" fillId="6" borderId="1" pivotButton="0" quotePrefix="0" xfId="0"/>
    <xf numFmtId="10" fontId="8" fillId="7" borderId="1" pivotButton="0" quotePrefix="0" xfId="0"/>
    <xf numFmtId="3" fontId="7" fillId="3" borderId="0" pivotButton="0" quotePrefix="0" xfId="0"/>
    <xf numFmtId="0" fontId="0" fillId="6" borderId="1" pivotButton="0" quotePrefix="0" xfId="0"/>
    <xf numFmtId="3" fontId="0" fillId="6" borderId="1" pivotButton="0" quotePrefix="0" xfId="0"/>
    <xf numFmtId="165" fontId="0" fillId="6" borderId="1" pivotButton="0" quotePrefix="0" xfId="0"/>
    <xf numFmtId="164" fontId="7" fillId="2" borderId="0" pivotButton="0" quotePrefix="0" xfId="0"/>
    <xf numFmtId="3" fontId="7" fillId="2" borderId="0" pivotButton="0" quotePrefix="0" xfId="0"/>
    <xf numFmtId="10" fontId="7" fillId="0" borderId="1" pivotButton="0" quotePrefix="0" xfId="0"/>
    <xf numFmtId="3" fontId="0" fillId="7" borderId="1" pivotButton="0" quotePrefix="0" xfId="0"/>
    <xf numFmtId="10" fontId="0" fillId="0" borderId="1" pivotButton="0" quotePrefix="0" xfId="0"/>
    <xf numFmtId="165" fontId="7" fillId="0" borderId="1" pivotButton="0" quotePrefix="0" xfId="0"/>
    <xf numFmtId="3" fontId="7" fillId="0" borderId="0" pivotButton="0" quotePrefix="0" xfId="0"/>
    <xf numFmtId="165" fontId="7" fillId="3" borderId="0" pivotButton="0" quotePrefix="0" xfId="0"/>
    <xf numFmtId="10" fontId="7" fillId="3" borderId="0" pivotButton="0" quotePrefix="0" xfId="0"/>
  </cellXfs>
  <cellStyles count="2">
    <cellStyle name="Normal" xfId="0" builtinId="0"/>
    <cellStyle name="Comma" xfId="1" builtinId="3"/>
  </cellStyles>
  <tableStyles count="0" defaultTableStyle="TableStyleMedium2" defaultPivotStyle="PivotStyleLight16"/>
  <colors>
    <indexedColors>
      <rgbColor rgb="FF000000"/>
      <rgbColor rgb="FFFFF2C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C"/>
      <rgbColor rgb="FFC6EFCE"/>
      <rgbColor rgb="FF660066"/>
      <rgbColor rgb="FFFF8080"/>
      <rgbColor rgb="FF0066CC"/>
      <rgbColor rgb="FFD9EAD3"/>
      <rgbColor rgb="FF000080"/>
      <rgbColor rgb="FFFF00FF"/>
      <rgbColor rgb="FFFFFF00"/>
      <rgbColor rgb="FF00FFFF"/>
      <rgbColor rgb="FF800080"/>
      <rgbColor rgb="FF800000"/>
      <rgbColor rgb="FF008080"/>
      <rgbColor rgb="FF0000FF"/>
      <rgbColor rgb="FF00CCFF"/>
      <rgbColor rgb="FFD9EAD4"/>
      <rgbColor rgb="FFC6F0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topLeftCell="A31" zoomScaleNormal="100" workbookViewId="0">
      <selection activeCell="C30" sqref="C30"/>
    </sheetView>
  </sheetViews>
  <sheetFormatPr baseColWidth="10" defaultColWidth="8.83203125" defaultRowHeight="15" customHeight="1"/>
  <cols>
    <col width="25" customWidth="1" min="1" max="1"/>
    <col width="15" customWidth="1" min="2" max="2"/>
    <col width="18" customWidth="1" min="3" max="3"/>
    <col width="15" customWidth="1" min="4" max="6"/>
  </cols>
  <sheetData>
    <row r="1">
      <c r="A1" s="1" t="inlineStr">
        <is>
          <t>OVERALL BASELINE</t>
        </is>
      </c>
      <c r="B1" s="2" t="inlineStr">
        <is>
          <t>Based on Nov-Dec25 data</t>
        </is>
      </c>
    </row>
    <row r="2">
      <c r="A2" s="3" t="inlineStr">
        <is>
          <t>Total Records</t>
        </is>
      </c>
      <c r="B2" s="4" t="n">
        <v>68360</v>
      </c>
    </row>
    <row r="3">
      <c r="A3" s="3" t="inlineStr">
        <is>
          <t>Current Conversion Rate</t>
        </is>
      </c>
      <c r="B3" s="5" t="n">
        <v>0.67</v>
      </c>
    </row>
    <row r="4">
      <c r="A4" s="3" t="inlineStr">
        <is>
          <t>Current Conversions</t>
        </is>
      </c>
      <c r="B4" s="4">
        <f>B2*B3</f>
        <v/>
      </c>
    </row>
    <row r="6">
      <c r="A6" s="1" t="inlineStr">
        <is>
          <t>CONTACT GROUP BREAKDOWN</t>
        </is>
      </c>
    </row>
    <row r="7">
      <c r="A7" s="6" t="inlineStr">
        <is>
          <t>Contact Group</t>
        </is>
      </c>
      <c r="B7" s="6" t="inlineStr">
        <is>
          <t>Records</t>
        </is>
      </c>
      <c r="C7" s="6" t="inlineStr">
        <is>
          <t>Conversion Rate</t>
        </is>
      </c>
    </row>
    <row r="8">
      <c r="A8" s="3" t="inlineStr">
        <is>
          <t>COUNTER</t>
        </is>
      </c>
      <c r="B8" s="4" t="n">
        <v>35663</v>
      </c>
      <c r="C8" s="5" t="n">
        <v>0.7</v>
      </c>
    </row>
    <row r="9">
      <c r="A9" s="3" t="inlineStr">
        <is>
          <t>HRD-OKC</t>
        </is>
      </c>
      <c r="B9" s="4" t="n">
        <v>25284</v>
      </c>
      <c r="C9" s="5" t="n">
        <v>0.538</v>
      </c>
    </row>
    <row r="10">
      <c r="A10" s="3" t="inlineStr">
        <is>
          <t>NO CONTACT</t>
        </is>
      </c>
      <c r="B10" s="4" t="n">
        <v>7413</v>
      </c>
      <c r="C10" s="5" t="n">
        <v>0.376</v>
      </c>
    </row>
    <row r="11">
      <c r="B11" s="7">
        <f>SUM(B8:B10)</f>
        <v/>
      </c>
    </row>
    <row r="12">
      <c r="A12" s="1" t="inlineStr">
        <is>
          <t>MMR BREAKDOWN</t>
        </is>
      </c>
    </row>
    <row r="13">
      <c r="A13" s="6" t="inlineStr">
        <is>
          <t>Segment</t>
        </is>
      </c>
      <c r="B13" s="6" t="inlineStr">
        <is>
          <t>Records</t>
        </is>
      </c>
      <c r="C13" s="6" t="inlineStr">
        <is>
          <t>Conversion Rate</t>
        </is>
      </c>
    </row>
    <row r="14">
      <c r="A14" s="3" t="inlineStr">
        <is>
          <t>MMR</t>
        </is>
      </c>
      <c r="B14" s="4" t="n">
        <v>12267</v>
      </c>
      <c r="C14" s="5" t="n">
        <v>0.73</v>
      </c>
    </row>
    <row r="15">
      <c r="A15" s="3" t="inlineStr">
        <is>
          <t>NO MMR</t>
        </is>
      </c>
      <c r="B15" s="4" t="n">
        <v>56093</v>
      </c>
      <c r="C15" s="5" t="n">
        <v>0.578</v>
      </c>
    </row>
    <row r="17">
      <c r="A17" s="1" t="inlineStr">
        <is>
          <t>MMR BY CONTACT GROUP</t>
        </is>
      </c>
    </row>
    <row r="18">
      <c r="A18" s="6" t="inlineStr">
        <is>
          <t>Contact Group</t>
        </is>
      </c>
      <c r="B18" s="6" t="inlineStr">
        <is>
          <t>MMR (n)</t>
        </is>
      </c>
      <c r="C18" s="6" t="inlineStr">
        <is>
          <t>NO MMR (n)</t>
        </is>
      </c>
      <c r="D18" s="6" t="inlineStr">
        <is>
          <t>MMR Conv</t>
        </is>
      </c>
      <c r="E18" s="6" t="inlineStr">
        <is>
          <t>NO MMR Conv</t>
        </is>
      </c>
      <c r="F18" s="6" t="inlineStr">
        <is>
          <t>MMR Lift</t>
        </is>
      </c>
    </row>
    <row r="19">
      <c r="A19" s="3" t="inlineStr">
        <is>
          <t>COUNTER</t>
        </is>
      </c>
      <c r="B19" s="4" t="n">
        <v>9107</v>
      </c>
      <c r="C19" s="4" t="n">
        <v>26556</v>
      </c>
      <c r="D19" s="5" t="n">
        <v>0.745</v>
      </c>
      <c r="E19" s="5" t="n">
        <v>0.6850000000000001</v>
      </c>
      <c r="F19" s="8" t="n">
        <v>0.059</v>
      </c>
    </row>
    <row r="20">
      <c r="A20" s="3" t="inlineStr">
        <is>
          <t>HRD-OKC</t>
        </is>
      </c>
      <c r="B20" s="4" t="n">
        <v>3136</v>
      </c>
      <c r="C20" s="4" t="n">
        <v>22148</v>
      </c>
      <c r="D20" s="5" t="n">
        <v>0.694</v>
      </c>
      <c r="E20" s="5" t="n">
        <v>0.516</v>
      </c>
      <c r="F20" s="8" t="n">
        <v>0.177</v>
      </c>
    </row>
    <row r="21">
      <c r="A21" s="3" t="inlineStr">
        <is>
          <t>NO CONTACT</t>
        </is>
      </c>
      <c r="B21" s="4" t="n">
        <v>24</v>
      </c>
      <c r="C21" s="4" t="n">
        <v>7389</v>
      </c>
      <c r="D21" s="9" t="inlineStr">
        <is>
          <t>-</t>
        </is>
      </c>
      <c r="E21" s="9" t="inlineStr">
        <is>
          <t>-</t>
        </is>
      </c>
      <c r="F21" s="8" t="n">
        <v>0.377</v>
      </c>
    </row>
    <row r="23">
      <c r="A23" s="1" t="inlineStr">
        <is>
          <t>RESPONSE TIME BY CONTACT GROUP</t>
        </is>
      </c>
    </row>
    <row r="24">
      <c r="A24" s="6" t="inlineStr">
        <is>
          <t>Response Time</t>
        </is>
      </c>
      <c r="B24" s="6" t="inlineStr">
        <is>
          <t>COUNTER (n)</t>
        </is>
      </c>
      <c r="C24" s="6" t="inlineStr">
        <is>
          <t>HRD-OKC (n)</t>
        </is>
      </c>
      <c r="D24" s="6" t="inlineStr">
        <is>
          <t>Gap (pp)</t>
        </is>
      </c>
    </row>
    <row r="25">
      <c r="A25" s="3" t="inlineStr">
        <is>
          <t>&lt;30min</t>
        </is>
      </c>
      <c r="B25" s="4" t="n">
        <v>15557</v>
      </c>
      <c r="C25" s="4" t="n">
        <v>2521</v>
      </c>
      <c r="D25" s="8" t="n">
        <v>0.06</v>
      </c>
    </row>
    <row r="26">
      <c r="A26" s="3" t="inlineStr">
        <is>
          <t>30min-1hr</t>
        </is>
      </c>
      <c r="B26" s="4" t="n">
        <v>6729</v>
      </c>
      <c r="C26" s="4" t="n">
        <v>10960</v>
      </c>
      <c r="D26" s="8" t="n">
        <v>0.15</v>
      </c>
    </row>
    <row r="27">
      <c r="A27" s="3" t="inlineStr">
        <is>
          <t>1-3hr</t>
        </is>
      </c>
      <c r="B27" s="4" t="n">
        <v>6492</v>
      </c>
      <c r="C27" s="4" t="n">
        <v>5787</v>
      </c>
      <c r="D27" s="8" t="n">
        <v>0.18</v>
      </c>
    </row>
    <row r="28">
      <c r="A28" s="3" t="inlineStr">
        <is>
          <t>3-6hr</t>
        </is>
      </c>
      <c r="B28" s="4" t="n">
        <v>1329</v>
      </c>
      <c r="C28" s="4" t="n">
        <v>1167</v>
      </c>
      <c r="D28" s="8" t="n">
        <v>0.19</v>
      </c>
    </row>
    <row r="29">
      <c r="A29" s="3" t="inlineStr">
        <is>
          <t>6-12hr</t>
        </is>
      </c>
      <c r="B29" s="4" t="n">
        <v>915</v>
      </c>
      <c r="C29" s="4" t="n">
        <v>576</v>
      </c>
      <c r="D29" s="8" t="n">
        <v>0.18</v>
      </c>
    </row>
    <row r="30">
      <c r="A30" s="3" t="inlineStr">
        <is>
          <t>12-24hr</t>
        </is>
      </c>
      <c r="B30" s="4" t="n">
        <v>3561</v>
      </c>
      <c r="C30" s="4" t="n">
        <v>3158</v>
      </c>
      <c r="D30" s="8" t="n">
        <v>0.15</v>
      </c>
    </row>
    <row r="31">
      <c r="A31" s="3" t="inlineStr">
        <is>
          <t>24-48hr</t>
        </is>
      </c>
      <c r="B31" s="4" t="n">
        <v>772</v>
      </c>
      <c r="C31" s="4" t="n">
        <v>771</v>
      </c>
      <c r="D31" s="8" t="n">
        <v>0.14</v>
      </c>
    </row>
    <row r="32">
      <c r="A32" s="3" t="inlineStr">
        <is>
          <t>48hr+</t>
        </is>
      </c>
      <c r="B32" s="4" t="n">
        <v>308</v>
      </c>
      <c r="C32" s="4" t="n">
        <v>344</v>
      </c>
      <c r="D32" s="8" t="n">
        <v>0.28</v>
      </c>
    </row>
    <row r="34">
      <c r="A34" s="1" t="inlineStr">
        <is>
          <t>MMR FUNNEL</t>
        </is>
      </c>
    </row>
    <row r="35">
      <c r="A35" s="6" t="inlineStr">
        <is>
          <t>Stage</t>
        </is>
      </c>
      <c r="B35" s="6" t="inlineStr">
        <is>
          <t>Rate</t>
        </is>
      </c>
      <c r="C35" s="6" t="inlineStr">
        <is>
          <t>Volume</t>
        </is>
      </c>
    </row>
    <row r="36">
      <c r="A36" s="3" t="inlineStr">
        <is>
          <t>MMR Sent</t>
        </is>
      </c>
      <c r="B36" s="5" t="n">
        <v>1</v>
      </c>
      <c r="C36" s="4" t="n">
        <v>68360</v>
      </c>
    </row>
    <row r="37">
      <c r="A37" s="3" t="inlineStr">
        <is>
          <t>Clicks Link (Page 1)</t>
        </is>
      </c>
      <c r="B37" s="5" t="n">
        <v>0.322</v>
      </c>
      <c r="C37" s="4" t="n">
        <v>22020</v>
      </c>
    </row>
    <row r="38">
      <c r="A38" s="3" t="inlineStr">
        <is>
          <t>Completes Page 1</t>
        </is>
      </c>
      <c r="B38" s="5" t="n">
        <v>0.87</v>
      </c>
      <c r="C38" s="4" t="n">
        <v>19157</v>
      </c>
    </row>
    <row r="39">
      <c r="A39" s="3" t="inlineStr">
        <is>
          <t>Completes Page 2</t>
        </is>
      </c>
      <c r="B39" s="5" t="n">
        <v>0.66</v>
      </c>
      <c r="C39" s="4" t="n">
        <v>12644</v>
      </c>
    </row>
    <row r="41">
      <c r="A41" s="1" t="inlineStr">
        <is>
          <t>SAME-DAY URGENT TRANSFER FUNNEL</t>
        </is>
      </c>
    </row>
    <row r="42">
      <c r="A42" s="10" t="inlineStr">
        <is>
          <t>(Sample of 677 outbound HRD calls)</t>
        </is>
      </c>
    </row>
    <row r="43">
      <c r="A43" s="6" t="inlineStr">
        <is>
          <t>Stage</t>
        </is>
      </c>
      <c r="B43" s="6" t="inlineStr">
        <is>
          <t>Count</t>
        </is>
      </c>
      <c r="C43" s="6" t="inlineStr">
        <is>
          <t>%</t>
        </is>
      </c>
    </row>
    <row r="44">
      <c r="A44" s="3" t="inlineStr">
        <is>
          <t>All Outbound Calls</t>
        </is>
      </c>
      <c r="B44" s="4" t="n">
        <v>677</v>
      </c>
      <c r="C44" s="5" t="n">
        <v>1</v>
      </c>
    </row>
    <row r="45">
      <c r="A45" s="3" t="inlineStr">
        <is>
          <t>Same-Day Urgent</t>
        </is>
      </c>
      <c r="B45" s="4" t="n">
        <v>253</v>
      </c>
      <c r="C45" s="5" t="n">
        <v>0.37</v>
      </c>
    </row>
    <row r="46">
      <c r="A46" s="3" t="inlineStr">
        <is>
          <t>Transferred</t>
        </is>
      </c>
      <c r="B46" s="4" t="n">
        <v>84</v>
      </c>
      <c r="C46" s="5" t="n">
        <v>0.33</v>
      </c>
    </row>
    <row r="47">
      <c r="A47" s="3" t="inlineStr">
        <is>
          <t>Warm Transfer</t>
        </is>
      </c>
      <c r="B47" s="4" t="n">
        <v>57</v>
      </c>
      <c r="C47" s="5" t="n">
        <v>0.68</v>
      </c>
    </row>
    <row r="48">
      <c r="A48" s="3" t="inlineStr">
        <is>
          <t>Branch Took Over</t>
        </is>
      </c>
      <c r="B48" s="4" t="n">
        <v>35</v>
      </c>
      <c r="C48" s="5" t="n">
        <v>0.61</v>
      </c>
    </row>
    <row r="49">
      <c r="A49" s="3" t="inlineStr">
        <is>
          <t>Immediate Need (Pickup Requested)</t>
        </is>
      </c>
      <c r="B49" s="4" t="n">
        <v>90</v>
      </c>
      <c r="C49" s="5" t="n">
        <v>0.133</v>
      </c>
    </row>
    <row r="50">
      <c r="A50" s="3" t="inlineStr">
        <is>
          <t>Immediate Need Current Transfer %</t>
        </is>
      </c>
      <c r="B50" s="5" t="n">
        <v>0.62</v>
      </c>
      <c r="C50" s="5" t="n">
        <v>0.09</v>
      </c>
    </row>
    <row r="52">
      <c r="A52" s="1" t="inlineStr">
        <is>
          <t>BLENDED MMR LIFT CALCULATION</t>
        </is>
      </c>
    </row>
    <row r="53">
      <c r="A53" s="6" t="inlineStr">
        <is>
          <t>Contact Group</t>
        </is>
      </c>
      <c r="B53" s="6" t="inlineStr">
        <is>
          <t>Records</t>
        </is>
      </c>
      <c r="C53" s="6" t="inlineStr">
        <is>
          <t>Weight</t>
        </is>
      </c>
      <c r="D53" s="6" t="inlineStr">
        <is>
          <t>MMR Lift</t>
        </is>
      </c>
      <c r="E53" s="6" t="inlineStr">
        <is>
          <t>Weighted Lift</t>
        </is>
      </c>
    </row>
    <row r="54">
      <c r="A54" s="3" t="inlineStr">
        <is>
          <t>COUNTER</t>
        </is>
      </c>
      <c r="B54" s="4">
        <f>B8</f>
        <v/>
      </c>
      <c r="C54" s="5">
        <f>B54/$B$2</f>
        <v/>
      </c>
      <c r="D54" s="5">
        <f>F19</f>
        <v/>
      </c>
      <c r="E54" s="5">
        <f>C54*D54</f>
        <v/>
      </c>
    </row>
    <row r="55">
      <c r="A55" s="3" t="inlineStr">
        <is>
          <t>HRD-OKC</t>
        </is>
      </c>
      <c r="B55" s="4">
        <f>B9</f>
        <v/>
      </c>
      <c r="C55" s="5">
        <f>B55/$B$2</f>
        <v/>
      </c>
      <c r="D55" s="5">
        <f>F20</f>
        <v/>
      </c>
      <c r="E55" s="5">
        <f>C55*D55</f>
        <v/>
      </c>
    </row>
    <row r="56">
      <c r="A56" s="3" t="inlineStr">
        <is>
          <t>NO CONTACT</t>
        </is>
      </c>
      <c r="B56" s="4">
        <f>B10</f>
        <v/>
      </c>
      <c r="C56" s="5">
        <f>B56/$B$2</f>
        <v/>
      </c>
      <c r="D56" s="5">
        <f>F21</f>
        <v/>
      </c>
      <c r="E56" s="5">
        <f>C56*D56</f>
        <v/>
      </c>
    </row>
    <row r="57">
      <c r="A57" s="6" t="inlineStr">
        <is>
          <t>BLENDED MMR LIFT</t>
        </is>
      </c>
      <c r="E57" s="11">
        <f>SUM(E54:E56)</f>
        <v/>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P32"/>
  <sheetViews>
    <sheetView tabSelected="1" topLeftCell="D1" zoomScaleNormal="100" workbookViewId="0">
      <pane ySplit="1" topLeftCell="A14" activePane="bottomLeft" state="frozen"/>
      <selection activeCell="E1" sqref="E1"/>
      <selection pane="bottomLeft" activeCell="L20" sqref="L20"/>
    </sheetView>
  </sheetViews>
  <sheetFormatPr baseColWidth="10" defaultColWidth="8.83203125" defaultRowHeight="15" customHeight="1"/>
  <cols>
    <col width="5" customWidth="1" min="1" max="1"/>
    <col width="28.1640625" customWidth="1" min="2" max="2"/>
    <col width="35" customWidth="1" min="3" max="3"/>
    <col outlineLevel="1" width="45" customWidth="1" min="4" max="5"/>
    <col outlineLevel="1" width="50" customWidth="1" min="6" max="6"/>
    <col width="18" customWidth="1" min="7" max="7"/>
    <col width="15" customWidth="1" style="12" min="8" max="8"/>
    <col width="15" customWidth="1" min="9" max="9"/>
    <col width="12" customWidth="1" min="10" max="10"/>
    <col width="12.6640625" customWidth="1" min="13" max="13"/>
    <col width="14.1640625" customWidth="1" min="15" max="15"/>
  </cols>
  <sheetData>
    <row r="1" ht="18.75" customHeight="1">
      <c r="A1" s="13" t="inlineStr">
        <is>
          <t>HERTZ IR CONVERSION UPLIFT SIZING</t>
        </is>
      </c>
    </row>
    <row r="2">
      <c r="A2" s="1" t="inlineStr">
        <is>
          <t>CONVERSION RATE SUMMARY</t>
        </is>
      </c>
    </row>
    <row r="3">
      <c r="B3" s="3" t="inlineStr">
        <is>
          <t>Current Leads</t>
        </is>
      </c>
      <c r="C3" s="14">
        <f>INPUT_Baseline!B2</f>
        <v/>
      </c>
    </row>
    <row r="4">
      <c r="B4" s="3" t="inlineStr">
        <is>
          <t>Current Conversions</t>
        </is>
      </c>
      <c r="C4" s="14">
        <f>INPUT_Baseline!B4</f>
        <v/>
      </c>
      <c r="G4" s="15" t="n"/>
      <c r="H4" s="15" t="n"/>
    </row>
    <row r="5">
      <c r="B5" s="3" t="inlineStr">
        <is>
          <t>Current Conversion Rate</t>
        </is>
      </c>
      <c r="C5" s="16">
        <f>INPUT_Baseline!B3</f>
        <v/>
      </c>
    </row>
    <row r="6">
      <c r="B6" s="3" t="inlineStr">
        <is>
          <t>New Conversions (LOW)</t>
        </is>
      </c>
      <c r="C6" s="14">
        <f>INPUT_Baseline!B4+I32</f>
        <v/>
      </c>
    </row>
    <row r="7">
      <c r="B7" s="3" t="inlineStr">
        <is>
          <t>New Conversions (HIGH)</t>
        </is>
      </c>
      <c r="C7" s="14">
        <f>INPUT_Baseline!B4+J32</f>
        <v/>
      </c>
    </row>
    <row r="8">
      <c r="B8" s="3" t="inlineStr">
        <is>
          <t>New Conversion Rate (LOW)</t>
        </is>
      </c>
      <c r="C8" s="16">
        <f>(INPUT_Baseline!B4+I32)/INPUT_Baseline!B2</f>
        <v/>
      </c>
    </row>
    <row r="9">
      <c r="B9" s="3" t="inlineStr">
        <is>
          <t>New Conversion Rate (HIGH)</t>
        </is>
      </c>
      <c r="C9" s="16">
        <f>(INPUT_Baseline!B4+J32)/INPUT_Baseline!B2</f>
        <v/>
      </c>
    </row>
    <row r="10">
      <c r="B10" s="17" t="inlineStr">
        <is>
          <t>Net Improvement (LOW)</t>
        </is>
      </c>
      <c r="C10" s="18">
        <f>K32</f>
        <v/>
      </c>
    </row>
    <row r="11">
      <c r="B11" s="17" t="inlineStr">
        <is>
          <t>Net Improvement (HIGH)</t>
        </is>
      </c>
      <c r="C11" s="18">
        <f>L32</f>
        <v/>
      </c>
    </row>
    <row r="13">
      <c r="B13" s="3" t="inlineStr">
        <is>
          <t>Conversion sizing</t>
        </is>
      </c>
      <c r="C13" s="19" t="n">
        <v>1000000</v>
      </c>
      <c r="D13" t="inlineStr">
        <is>
          <t>EBITDA</t>
        </is>
      </c>
    </row>
    <row r="14">
      <c r="B14" s="3" t="n"/>
      <c r="C14" s="20" t="n">
        <v>0.01</v>
      </c>
      <c r="D14" t="inlineStr">
        <is>
          <t>for every 1%</t>
        </is>
      </c>
    </row>
    <row r="16" ht="18.75" customHeight="1">
      <c r="A16" s="13" t="inlineStr">
        <is>
          <t>INITIATIVE DEEP DIVE</t>
        </is>
      </c>
    </row>
    <row r="18" ht="31.5" customFormat="1" customHeight="1" s="12">
      <c r="A18" s="21" t="inlineStr">
        <is>
          <t>#</t>
        </is>
      </c>
      <c r="B18" s="21" t="inlineStr">
        <is>
          <t>Initiative</t>
        </is>
      </c>
      <c r="C18" s="21" t="inlineStr">
        <is>
          <t>Initiative description</t>
        </is>
      </c>
      <c r="D18" s="21" t="inlineStr">
        <is>
          <t>Current State</t>
        </is>
      </c>
      <c r="E18" s="21" t="inlineStr">
        <is>
          <t>Problem</t>
        </is>
      </c>
      <c r="F18" s="21" t="inlineStr">
        <is>
          <t>Uplift Mechanism</t>
        </is>
      </c>
      <c r="G18" s="22" t="inlineStr">
        <is>
          <t>Category</t>
        </is>
      </c>
      <c r="H18" s="22" t="inlineStr">
        <is>
          <t>Uplift Lever</t>
        </is>
      </c>
      <c r="I18" s="22" t="inlineStr">
        <is>
          <t>Uplift (Conv) LOW</t>
        </is>
      </c>
      <c r="J18" s="22" t="inlineStr">
        <is>
          <t>Uplift (Conv) HIGH</t>
        </is>
      </c>
      <c r="K18" s="22" t="inlineStr">
        <is>
          <t>Uplift (pp) LOW</t>
        </is>
      </c>
      <c r="L18" s="22" t="inlineStr">
        <is>
          <t>Uplift (pp) HIGH</t>
        </is>
      </c>
      <c r="M18" s="23" t="inlineStr">
        <is>
          <t>Uplift (EBITDA LOW) $m</t>
        </is>
      </c>
      <c r="N18" s="23" t="inlineStr">
        <is>
          <t>Uplift ($ EBITDA HIGH) $m</t>
        </is>
      </c>
      <c r="O18" s="23" t="inlineStr">
        <is>
          <t>Timeline</t>
        </is>
      </c>
    </row>
    <row r="19" ht="79.5" customHeight="1">
      <c r="A19" s="24" t="n">
        <v>1</v>
      </c>
      <c r="B19" s="25" t="inlineStr">
        <is>
          <t>Remove noise data</t>
        </is>
      </c>
      <c r="C19" s="25" t="inlineStr">
        <is>
          <t xml:space="preserve"># Create a new indicator AUTOCANCEL_IND for all reservations automatically cancelled within 30 minutes by adjustors </t>
        </is>
      </c>
      <c r="D19" s="25" t="inlineStr">
        <is>
          <t xml:space="preserve">All 68,360 records from Nov-Dec 2025 are included in the conversion rate denominator, including  auto-cancelled reservations (cancelled within 30 minutes of creation). </t>
        </is>
      </c>
      <c r="E19" s="26" t="inlineStr">
        <is>
          <t>These reservations were never real opportunities - the insurance adjuster cancelled before Hertz could contact the customer. Including them in the denominator artificially deflates conversion rate and misrepresents branch performance.</t>
        </is>
      </c>
      <c r="F19" s="25" t="inlineStr">
        <is>
          <t>Excluding reservations cancelled by insurance adjusters reduces the total lead count (denominator), which increases the conversion rate to better reflect performance on actionable leads.</t>
        </is>
      </c>
      <c r="G19" s="17" t="inlineStr">
        <is>
          <t>Data</t>
        </is>
      </c>
      <c r="H19" s="27" t="inlineStr">
        <is>
          <t>Baseline Adjustment</t>
        </is>
      </c>
      <c r="I19" s="17" t="n">
        <v>0</v>
      </c>
      <c r="J19" s="17" t="n">
        <v>0</v>
      </c>
      <c r="K19" s="28" t="n">
        <v>0.02191328650200164</v>
      </c>
      <c r="L19" s="28" t="n">
        <v>0.03804334719495417</v>
      </c>
      <c r="M19" s="29" t="n"/>
      <c r="N19" s="29" t="n"/>
      <c r="O19" s="30" t="inlineStr">
        <is>
          <t>Short term</t>
        </is>
      </c>
      <c r="P19" t="inlineStr">
        <is>
          <t>&lt;&lt; No bottomline impact</t>
        </is>
      </c>
    </row>
    <row r="20" ht="129.75" customHeight="1">
      <c r="A20" s="24" t="n">
        <v>2</v>
      </c>
      <c r="B20" s="25" t="inlineStr">
        <is>
          <t>Update IVR call tree</t>
        </is>
      </c>
      <c r="C20" s="25" t="inlineStr">
        <is>
          <t># Replace "If you're an insurance company or local account" to "If you need an insurance replacement rental, plress 5"  then ask if same-day. If not —&gt; send to HRD)
# Move “insurance or bodyshop companies” to press 6</t>
        </is>
      </c>
      <c r="D20" s="25" t="inlineStr">
        <is>
          <t>Current call-tree is confusing, and not intuitive. No customer would agree that "Insurance company or local account" resonates with who they are, but that's the current correct option for an IR lead</t>
        </is>
      </c>
      <c r="E20" s="25" t="inlineStr">
        <is>
          <t>Branch becomes uncontactable, or customer gets stuck in other call tree options which try to defer them out from speaking to anyone. We hear them complaining to HRD about branch being impossible to reach</t>
        </is>
      </c>
      <c r="F20" s="25" t="inlineStr">
        <is>
          <t>Updating the call tree makes it easier for customers to reach the branch directly, shifting volume from NO CONTACT/HRD to COUNTER and capturing the conversion advantage.</t>
        </is>
      </c>
      <c r="G20" s="17" t="inlineStr">
        <is>
          <t>Central / CX</t>
        </is>
      </c>
      <c r="H20" s="27" t="inlineStr">
        <is>
          <t>Higher Branch Contact (Inbound)</t>
        </is>
      </c>
      <c r="I20" s="31">
        <f>'2_CallTree'!B20</f>
        <v/>
      </c>
      <c r="J20" s="31">
        <f>'2_CallTree'!B21</f>
        <v/>
      </c>
      <c r="K20" s="28" t="n">
        <v>0.003757467086015214</v>
      </c>
      <c r="L20" s="28" t="n">
        <v>0.007514934172030427</v>
      </c>
      <c r="M20" s="29" t="n">
        <v>0.3757</v>
      </c>
      <c r="N20" s="29" t="n">
        <v>0.7514999999999999</v>
      </c>
      <c r="O20" s="30" t="inlineStr">
        <is>
          <t>Short term</t>
        </is>
      </c>
    </row>
    <row r="21" ht="79.5" customHeight="1">
      <c r="A21" s="24" t="n">
        <v>3</v>
      </c>
      <c r="B21" s="25" t="inlineStr">
        <is>
          <t>HRD verbiage update</t>
        </is>
      </c>
      <c r="C21" s="25" t="inlineStr">
        <is>
          <t xml:space="preserve"># Make sure no mention of "Branch discretion", "not guaranteed", "not confirmed". Be like the MMR, main objectives are to (1) establish rapport, (2) cement commitment. </t>
        </is>
      </c>
      <c r="D21" s="25" t="inlineStr">
        <is>
          <t>HRD agents are mentioning phrases that kill confidence and trust, such as "your pick up is not guaranteed". "It's at the branch's discretion", "your reservation is not yet confirmed, please call branch to confirm it"</t>
        </is>
      </c>
      <c r="E21" s="25" t="inlineStr">
        <is>
          <t>This creates leakage / friction points, makes customers feel frustrated. Customers definitely do not appreciate uncertainty, especially after spending 10 minutes with an HRD agents</t>
        </is>
      </c>
      <c r="F21" s="25" t="inlineStr">
        <is>
          <t xml:space="preserve">Fixing the verbiage will help HRD agents achieve similar outcomes to MMR-driven conversion, as it will achieve the same level of commitment despite not being able to confirm anything. </t>
        </is>
      </c>
      <c r="G21" s="17" t="inlineStr">
        <is>
          <t>Central / CX</t>
        </is>
      </c>
      <c r="H21" s="27" t="inlineStr">
        <is>
          <t>Higher HRD Conversion</t>
        </is>
      </c>
      <c r="I21" s="31">
        <f>'3_HRDVerbiage'!B20</f>
        <v/>
      </c>
      <c r="J21" s="31">
        <f>'3_HRDVerbiage'!B21</f>
        <v/>
      </c>
      <c r="K21" s="28" t="n">
        <v>0.00173</v>
      </c>
      <c r="L21" s="28" t="n">
        <v>0.002884</v>
      </c>
      <c r="M21" s="29" t="n">
        <v>0.173</v>
      </c>
      <c r="N21" s="29" t="n">
        <v>0.2884</v>
      </c>
      <c r="O21" s="30" t="inlineStr">
        <is>
          <t>Short term</t>
        </is>
      </c>
    </row>
    <row r="22" ht="79.5" customHeight="1">
      <c r="A22" s="24" t="n">
        <v>4</v>
      </c>
      <c r="B22" s="25" t="inlineStr">
        <is>
          <t>HRD SOP - warm transfer for all immediate need (same day and pick up requested)</t>
        </is>
      </c>
      <c r="C22" s="25" t="inlineStr">
        <is>
          <t># Do not cold transfer (this is breaking SOP)
# Always warm transfer immediate-need (Same day and pick up requested)</t>
        </is>
      </c>
      <c r="D22" s="25" t="inlineStr">
        <is>
          <t>37% of HRD calls are same-day urgent pickups. Currently only 33% of these get transferred to branch, only 68% of transfers are warm (agent stays on line), and only 61% of warm transfers result in branch answering. Net: only ~14% of same-day urgent calls successfully reach the branch.</t>
        </is>
      </c>
      <c r="E22" s="25" t="inlineStr">
        <is>
          <t>Same-day customers need immediate help and have high intent. Cold transfers are lazy and frustrating to the customer because customer has to repeat everything again to branch, breaks trust.</t>
        </is>
      </c>
      <c r="F22" s="25" t="inlineStr">
        <is>
          <t>Warm transferring all same-day urgent calls increases the percentage of high-intent customers who successfully reach the branch. The uplift is calculated by comparing the current funnel (transfer rate × warm rate × answer rate) to the target funnel, then applying the conversion delta between urgent customers reaching branch versus standard HRD conversion to the incremental volume.</t>
        </is>
      </c>
      <c r="G22" s="17" t="inlineStr">
        <is>
          <t>Central / CX</t>
        </is>
      </c>
      <c r="H22" s="27" t="inlineStr">
        <is>
          <t>Higher Branch Contact (Inbound)</t>
        </is>
      </c>
      <c r="I22" s="31">
        <f>'4_HRDWarmTransfer'!B38</f>
        <v/>
      </c>
      <c r="J22" s="31">
        <f>'4_HRDWarmTransfer'!B39</f>
        <v/>
      </c>
      <c r="K22" s="28" t="n">
        <v>0.007670858759648914</v>
      </c>
      <c r="L22" s="28" t="n">
        <v>0.0111143058047045</v>
      </c>
      <c r="M22" s="29" t="n">
        <v>0.7671</v>
      </c>
      <c r="N22" s="29" t="n">
        <v>1.1114</v>
      </c>
      <c r="O22" s="30" t="inlineStr">
        <is>
          <t>Immediate</t>
        </is>
      </c>
    </row>
    <row r="23" ht="79.5" customHeight="1">
      <c r="A23" s="24" t="n">
        <v>5</v>
      </c>
      <c r="B23" s="25" t="inlineStr">
        <is>
          <t>MMR Page 1: Reminder SMS/email</t>
        </is>
      </c>
      <c r="C23" s="25" t="inlineStr">
        <is>
          <t># Send a scheduled reminder to the MMR link after 6 hours if not yet clicked, and reservation is not yet opened</t>
        </is>
      </c>
      <c r="D23" s="25" t="inlineStr">
        <is>
          <t>MMR link is sent once when the reservation is created. Only 32.2% of customers click through to start the form. No follow-up is sent if customers don't engage.</t>
        </is>
      </c>
      <c r="E23" s="25" t="inlineStr">
        <is>
          <t>Customers miss or ignore the initial message - it may arrive at an inconvenient time, get buried in other notifications, or not clearly convey urgency. Without a reminder, 67.8% of customers never enter the MMR funnel.</t>
        </is>
      </c>
      <c r="F23" s="25" t="inlineStr">
        <is>
          <t>Sending a reminder increases the percentage of customers who click the MMR link. Additional clickers flow through the MMR funnel and gain the blended MMR conversion lift upon completion.</t>
        </is>
      </c>
      <c r="G23" s="17" t="inlineStr">
        <is>
          <t>Tech</t>
        </is>
      </c>
      <c r="H23" s="27" t="inlineStr">
        <is>
          <t>Higher MMR Completion</t>
        </is>
      </c>
      <c r="I23" s="31">
        <f>'5_MMRPage1'!B24</f>
        <v/>
      </c>
      <c r="J23" s="31">
        <f>'5_MMRPage1'!B25</f>
        <v/>
      </c>
      <c r="K23" s="28" t="n">
        <v>0.006142</v>
      </c>
      <c r="L23" s="28" t="n">
        <v>0.014016</v>
      </c>
      <c r="M23" s="29" t="n">
        <v>0.6142</v>
      </c>
      <c r="N23" s="29" t="n">
        <v>1.4016</v>
      </c>
      <c r="O23" s="30" t="inlineStr">
        <is>
          <t>Immediate</t>
        </is>
      </c>
    </row>
    <row r="24" ht="79.5" customHeight="1">
      <c r="A24" s="24" t="n">
        <v>6</v>
      </c>
      <c r="B24" s="25" t="inlineStr">
        <is>
          <t>MMR Page 2: UX improvements</t>
        </is>
      </c>
      <c r="C24" s="25" t="inlineStr">
        <is>
          <t># Page 2 improvements:
- Remove the confirmation screen
- Cover for scenarios where (1) body shop not yet confirmed; (2) want to pick up at locations outside of bodyshop; (3) same day urgent pick up to override current guardrails (2 hours notice, 2 hours from shop closing, 1 hour from shop opening)
- Have an express flow for same day urgent pick ups and unknown body shop 
- Remove picture of car / phone number of branch
- Allow customer to update bodyshop location after confirmation</t>
        </is>
      </c>
      <c r="D24" s="25" t="inlineStr">
        <is>
          <t>87% of customers who click complete Page 1, but only 66% complete Page 2 - a 34% drop-off rate. Page 2 has friction including confusing fields and unclear flow. No option exists for customers who don't have a bodyshop yet. The confirmation screen (Page 3) may not clearly confirm the reservation is complete.</t>
        </is>
      </c>
      <c r="E24" s="25" t="inlineStr">
        <is>
          <t>Page 2 friction causes abandonment before MMR completion. Customers who start but don't finish MMR get no benefit from the partial completion. The drop-off represents lost conversion lift on engaged customers.</t>
        </is>
      </c>
      <c r="F24" s="25" t="inlineStr">
        <is>
          <t>Improving Page 2 UX reduces form abandonment, increasing the number of customers who complete MMR. Additional completers gain the blended MMR conversion lift.</t>
        </is>
      </c>
      <c r="G24" s="17" t="inlineStr">
        <is>
          <t>Tech</t>
        </is>
      </c>
      <c r="H24" s="27" t="inlineStr">
        <is>
          <t>Higher MMR Completion</t>
        </is>
      </c>
      <c r="I24" s="31">
        <f>'6_MMRPage2'!B24</f>
        <v/>
      </c>
      <c r="J24" s="31">
        <f>'6_MMRPage2'!B25</f>
        <v/>
      </c>
      <c r="K24" s="28" t="n">
        <v>0.006338</v>
      </c>
      <c r="L24" s="28" t="n">
        <v>0.008874</v>
      </c>
      <c r="M24" s="29" t="n">
        <v>0.6338</v>
      </c>
      <c r="N24" s="29" t="n">
        <v>0.8874</v>
      </c>
      <c r="O24" s="30" t="inlineStr">
        <is>
          <t>Medium term</t>
        </is>
      </c>
    </row>
    <row r="25" ht="79.5" customHeight="1">
      <c r="A25" s="24" t="inlineStr">
        <is>
          <t>5-6</t>
        </is>
      </c>
      <c r="B25" s="25" t="inlineStr">
        <is>
          <t>MMR Interaction Effect (Initiatives 5+6 combined)</t>
        </is>
      </c>
      <c r="C25" s="25" t="inlineStr">
        <is>
          <t>When both MMR initiatives are implemented together, the compounding effect creates additional uplift beyond the sum of individual initiatives.</t>
        </is>
      </c>
      <c r="D25" s="25" t="inlineStr">
        <is>
          <t>Initiatives 5 and 6 target different stages of the MMR funnel (click rate and Page 2 completion).</t>
        </is>
      </c>
      <c r="E25" s="25" t="inlineStr">
        <is>
          <t>Calculating uplifts separately misses the interaction - more clicks flowing through better Page 2 completion.</t>
        </is>
      </c>
      <c r="F25" s="25" t="inlineStr">
        <is>
          <t>Interaction uplift = Init 5 lift % × Init 6 lift % × baseline MMR completions × MMR conversion lift. This captures the compounding effect when both initiatives are implemented together.</t>
        </is>
      </c>
      <c r="G25" s="17" t="inlineStr">
        <is>
          <t>Tech</t>
        </is>
      </c>
      <c r="H25" s="27" t="inlineStr">
        <is>
          <t>Higher MMR Completion</t>
        </is>
      </c>
      <c r="I25" s="31" t="n">
        <v>104.960525278752</v>
      </c>
      <c r="J25" s="31" t="n">
        <v>335.3354217880128</v>
      </c>
      <c r="K25" s="28" t="n">
        <v>0.00153540081919251</v>
      </c>
      <c r="L25" s="28" t="n">
        <v>0.004905500292568753</v>
      </c>
      <c r="M25" s="29" t="n">
        <v>0.153540081919251</v>
      </c>
      <c r="N25" s="29" t="n">
        <v>0.4905500292568753</v>
      </c>
      <c r="O25" s="30" t="inlineStr">
        <is>
          <t>Medium term</t>
        </is>
      </c>
    </row>
    <row r="26" ht="79.5" customHeight="1">
      <c r="A26" s="24" t="n">
        <v>7</v>
      </c>
      <c r="B26" s="25" t="inlineStr">
        <is>
          <t>Branch: 15-min HLES queue check</t>
        </is>
      </c>
      <c r="C26" s="25" t="inlineStr">
        <is>
          <t># Implement an EDI owner at different parts of the day (AM/PM), the owner has to check HLES every 15 minutes (timer)</t>
        </is>
      </c>
      <c r="D26" s="25" t="inlineStr">
        <is>
          <t>Branch staff check the HLES queue for new IR leads on an ad-hoc basis. It's owned by everyone, which without clear ownership, will get deprioritized once people are busy. There's no systematic reminder to check regularly, so leads can sit in queue while staff handle other tasks.</t>
        </is>
      </c>
      <c r="E26" s="25" t="inlineStr">
        <is>
          <t>Leads sitting in queue don't get contacted. Every minute of delay reduces conversion probability - response time data shows clear correlation between faster contact and higher conversion. Leads contacted by HRD first (because branch didn't check queue) convert 16.2pp lower.</t>
        </is>
      </c>
      <c r="F26" s="25" t="inlineStr">
        <is>
          <t>Volume shift uplift: Branch intercepts HRD leads faster. Uplift = shifted volume × (COUNTER conv - HRD conv). Split 50% with Initiative 8.</t>
        </is>
      </c>
      <c r="G26" s="17" t="inlineStr">
        <is>
          <t>Branch / Ops</t>
        </is>
      </c>
      <c r="H26" s="27" t="inlineStr">
        <is>
          <t>Faster Counter Contact</t>
        </is>
      </c>
      <c r="I26" s="31">
        <f>'7-8_Branch-FasterContact'!B27*0.5</f>
        <v/>
      </c>
      <c r="J26" s="31">
        <f>'7-8_Branch-FasterContact'!B28*0.5</f>
        <v/>
      </c>
      <c r="K26" s="28" t="n">
        <v>0.004493390871854883</v>
      </c>
      <c r="L26" s="28" t="n">
        <v>0.006740086307782326</v>
      </c>
      <c r="M26" s="29" t="n">
        <v>0.4493</v>
      </c>
      <c r="N26" s="29" t="n">
        <v>0.674</v>
      </c>
      <c r="O26" s="30" t="inlineStr">
        <is>
          <t>Short term</t>
        </is>
      </c>
    </row>
    <row r="27" ht="79.5" customHeight="1">
      <c r="A27" s="24" t="n">
        <v>8</v>
      </c>
      <c r="B27" s="25" t="inlineStr">
        <is>
          <t>Branch: Phone discipline</t>
        </is>
      </c>
      <c r="C27" s="25" t="inlineStr">
        <is>
          <t>#Ensure phones are never muted
# Never let the phone ring out, always pick up and ask customer to hold if busy.</t>
        </is>
      </c>
      <c r="D27" s="25" t="inlineStr">
        <is>
          <t>Branch phones may be muted or set to do-not-disturb at certain branches, esp. during busy periods. They then often forget to unmute. 
When phones ring, staff may let them ring out rather than answering immediately. Inbound calls from customers or HRD transfers go unanswered.</t>
        </is>
      </c>
      <c r="E27" s="25" t="inlineStr">
        <is>
          <t>Muted phones mean missed calls from high-intent customers calling to confirm their rental. Letting phones ring out loses same-day urgent transfers from HRD and direct customer calls. We know that when put on hold, customers will stay on the line (as long as they've heard a voice on the other side)</t>
        </is>
      </c>
      <c r="F27" s="25" t="inlineStr">
        <is>
          <t>Volume shift uplift: Phone discipline ensures calls are answered. Uplift = shifted volume × (COUNTER conv - HRD conv). Split 50% with Initiative 7.</t>
        </is>
      </c>
      <c r="G27" s="17" t="inlineStr">
        <is>
          <t>Branch / Ops</t>
        </is>
      </c>
      <c r="H27" s="27" t="inlineStr">
        <is>
          <t>Faster Counter Contact</t>
        </is>
      </c>
      <c r="I27" s="31">
        <f>'7-8_Branch-FasterContact'!B27*0.5</f>
        <v/>
      </c>
      <c r="J27" s="31">
        <f>'7-8_Branch-FasterContact'!B28*0.5</f>
        <v/>
      </c>
      <c r="K27" s="28" t="n">
        <v>0.004493390871854883</v>
      </c>
      <c r="L27" s="28" t="n">
        <v>0.006740086307782326</v>
      </c>
      <c r="M27" s="29" t="n">
        <v>0.4493</v>
      </c>
      <c r="N27" s="29" t="n">
        <v>0.674</v>
      </c>
      <c r="O27" s="30" t="inlineStr">
        <is>
          <t>Short term</t>
        </is>
      </c>
    </row>
    <row r="28" ht="79.5" customHeight="1">
      <c r="A28" s="24" t="n">
        <v>9</v>
      </c>
      <c r="B28" s="25" t="inlineStr">
        <is>
          <t>Branch: Leadership cascade on IR importance</t>
        </is>
      </c>
      <c r="C28" s="25" t="inlineStr">
        <is>
          <t># Restate the improtance of IR leads, from both a growth area perspective, but also Average Contract Value perspective. Drive this down at every level.</t>
        </is>
      </c>
      <c r="D28" s="25" t="inlineStr">
        <is>
          <t>IR lead conversion may not be consistently emphasized as a priority across all management levels. Branch staff may not fully understand the revenue impact of each converted lead. Day-to-day still focused on retail/booked reservation, not winning new reservation.</t>
        </is>
      </c>
      <c r="E28" s="25" t="inlineStr">
        <is>
          <t>Without clear leadership emphasis, IR leads compete with other priorities. Staff may not treat IR leads with appropriate urgency. Inconsistent messaging across management levels leads to inconsistent execution.</t>
        </is>
      </c>
      <c r="F28" s="25" t="inlineStr">
        <is>
          <t>Conversion improvement: Leadership emphasis drives consistent IR prioritization, improving COUNTER conversion by ~3%. Split equally across Initiatives 9-11.</t>
        </is>
      </c>
      <c r="G28" s="17" t="inlineStr">
        <is>
          <t>Branch / Ops</t>
        </is>
      </c>
      <c r="H28" s="27" t="inlineStr">
        <is>
          <t>Improved Branch Conversion</t>
        </is>
      </c>
      <c r="I28" s="31">
        <f>'9-11_Branch-BetterConversion'!B18/3</f>
        <v/>
      </c>
      <c r="J28" s="31">
        <f>'9-11_Branch-BetterConversion'!B19/3</f>
        <v/>
      </c>
      <c r="K28" s="28" t="n">
        <v>0.003651857811585722</v>
      </c>
      <c r="L28" s="28" t="n">
        <v>0.006086429685976205</v>
      </c>
      <c r="M28" s="29" t="n">
        <v>0.3652</v>
      </c>
      <c r="N28" s="29" t="n">
        <v>0.6086</v>
      </c>
      <c r="O28" s="30" t="inlineStr">
        <is>
          <t>Short term</t>
        </is>
      </c>
    </row>
    <row r="29" ht="102.75" customHeight="1">
      <c r="A29" s="24" t="n">
        <v>10</v>
      </c>
      <c r="B29" s="25" t="inlineStr">
        <is>
          <t>Branch: Weekly unconverted lead reviews</t>
        </is>
      </c>
      <c r="C29" s="25" t="inlineStr">
        <is>
          <t># Roulette-style weekly IR lead reviews between GM and all BMs. All BMs must submit their lead reports, but only 2-3 BMs reports get walked through in the session. Celebrate conversion, share key learnings, and track every single non-converted leads. Reasons if cancelled, next steps if unused.</t>
        </is>
      </c>
      <c r="D29" s="25" t="inlineStr">
        <is>
          <t>No systematic review process exists for unconverted leads. Leads that don't convert are not analyzed for patterns or root causes. Lost opportunities aren't used as learning moments, and no opportunity to cement accountability</t>
        </is>
      </c>
      <c r="E29" s="25" t="inlineStr">
        <is>
          <t>Without reviewing unconverted leads, branches can't identify what went wrong or improve their approach. Patterns (e.g., specific bodyshops, time-of-day issues, staffing gaps) go undetected. Same mistakes repeat.</t>
        </is>
      </c>
      <c r="F29" s="25" t="inlineStr">
        <is>
          <t>Conversion improvement: Reviewing unconverted leads identifies improvement opportunities, improving COUNTER conversion by ~3%. Split equally across Initiatives 9-11.</t>
        </is>
      </c>
      <c r="G29" s="17" t="inlineStr">
        <is>
          <t>Branch / Ops</t>
        </is>
      </c>
      <c r="H29" s="27" t="inlineStr">
        <is>
          <t>Improved Branch Conversion</t>
        </is>
      </c>
      <c r="I29" s="31">
        <f>'9-11_Branch-BetterConversion'!B18/3</f>
        <v/>
      </c>
      <c r="J29" s="31">
        <f>'9-11_Branch-BetterConversion'!B19/3</f>
        <v/>
      </c>
      <c r="K29" s="28" t="n">
        <v>0.003651857811585722</v>
      </c>
      <c r="L29" s="28" t="n">
        <v>0.006086429685976205</v>
      </c>
      <c r="M29" s="29" t="n">
        <v>0.3652</v>
      </c>
      <c r="N29" s="29" t="n">
        <v>0.6086</v>
      </c>
      <c r="O29" s="30" t="inlineStr">
        <is>
          <t>Short term</t>
        </is>
      </c>
    </row>
    <row r="30" ht="96" customHeight="1">
      <c r="A30" s="24" t="n">
        <v>11</v>
      </c>
      <c r="B30" s="25" t="inlineStr">
        <is>
          <t>Branch: Escalation path for unanswered transfers</t>
        </is>
      </c>
      <c r="C30" s="25" t="inlineStr">
        <is>
          <t># do 2 branch transfer attempts to give branch the opportunity to pick up and ask to hold
# Start reviewing/tracking escalations (similar to fleet leads)</t>
        </is>
      </c>
      <c r="D30" s="25" t="inlineStr">
        <is>
          <t>When HRD attempts to warm transfer a call and the branch doesn't answer, they submit an escalation but the escalation protocol is not tracked/followed up. Escalations can be easily ignored</t>
        </is>
      </c>
      <c r="E30" s="25" t="inlineStr">
        <is>
          <t>Failed transfers lose high-intent customers who were ready to book. While escalations may help, it's currently a one way flow that goes from HRD --&gt; Team lead --&gt; ZGM --&gt; BM with no proper follow up. It assumes BM will take action, and no update required internally</t>
        </is>
      </c>
      <c r="F30" s="25" t="inlineStr">
        <is>
          <t>Conversion improvement: Clear escalation paths recover failed transfers, improving COUNTER conversion by ~3%. Split equally across Initiatives 9-11.</t>
        </is>
      </c>
      <c r="G30" s="17" t="inlineStr">
        <is>
          <t>Branch / Ops</t>
        </is>
      </c>
      <c r="H30" s="27" t="inlineStr">
        <is>
          <t>Improved Branch Conversion</t>
        </is>
      </c>
      <c r="I30" s="31">
        <f>'9-11_Branch-BetterConversion'!B18/3</f>
        <v/>
      </c>
      <c r="J30" s="31">
        <f>'9-11_Branch-BetterConversion'!B19/3</f>
        <v/>
      </c>
      <c r="K30" s="28" t="n">
        <v>0.003651857811585722</v>
      </c>
      <c r="L30" s="28" t="n">
        <v>0.006086429685976205</v>
      </c>
      <c r="M30" s="29" t="n">
        <v>0.3652</v>
      </c>
      <c r="N30" s="29" t="n">
        <v>0.6086</v>
      </c>
      <c r="O30" s="30" t="inlineStr">
        <is>
          <t>Medium term</t>
        </is>
      </c>
    </row>
    <row r="31" ht="150.75" customHeight="1">
      <c r="A31" s="32" t="inlineStr">
        <is>
          <t>12-13</t>
        </is>
      </c>
      <c r="B31" s="25" t="inlineStr">
        <is>
          <t>Bodyshop: 'Protect your lunch' outreach</t>
        </is>
      </c>
      <c r="C31" s="25" t="inlineStr">
        <is>
          <t># Call bodyshop right after confirming with the customer, to confirm the customer's appointment time, and inform them Hertz will be there to pick them up
# Ensure Hertz team member arrives at body shop for pick up 5 minute early and never late. Wait inside the bodyshop office, and build relationship with them in the meantime.</t>
        </is>
      </c>
      <c r="D31" s="25" t="inlineStr">
        <is>
          <t>After a reservation is made, there's often no proactive outreach to the bodyshop. Bodyshop will be more aggressive at trying to flip when they don't know if the customer has already been in contact with a provider. Customers arrive at bodyshops where staff may have relationships with competitor rental companies. Estimate ~5% of non Insurance Partner driven cancellations are due to flips</t>
        </is>
      </c>
      <c r="E31" s="25" t="inlineStr">
        <is>
          <t>Bodyshop staff interact with customers before Hertz does at pickup. Without a Hertz relationship, bodyshop staff may steer customers to competitors they have deals with. Each flip is a lost rental that was already in our system.
Customers do not like to wait. The moment they need to wait, they will look for alternatives, especially if Enterprise is visible and bodyshop insists they have cars and customer can leave in 5 minutes (get along with their day)</t>
        </is>
      </c>
      <c r="F31" s="25" t="inlineStr">
        <is>
          <t>Calling the bodyshop after reservation confirms Hertz's presence, reducing the chance that bodyshop staff steer customers to competitors. Prevented flips convert at 100% since they were already booked.
Arriving early and showing face will definitely prevent flips. Uplift is driven by reduced flips</t>
        </is>
      </c>
      <c r="G31" s="17" t="inlineStr">
        <is>
          <t>Branch / Ops</t>
        </is>
      </c>
      <c r="H31" s="27" t="inlineStr">
        <is>
          <t>Reduced Competitor Flips</t>
        </is>
      </c>
      <c r="I31" s="31">
        <f>'12-13_Bodyshop'!B22</f>
        <v/>
      </c>
      <c r="J31" s="31">
        <f>'12-13_Bodyshop'!B23</f>
        <v/>
      </c>
      <c r="K31" s="28" t="n">
        <v>0.00495</v>
      </c>
      <c r="L31" s="28" t="n">
        <v>0.012375</v>
      </c>
      <c r="M31" s="29" t="n">
        <v>0.4950000000000001</v>
      </c>
      <c r="N31" s="29" t="n">
        <v>1.2375</v>
      </c>
      <c r="O31" s="30" t="inlineStr">
        <is>
          <t>Immediate term</t>
        </is>
      </c>
    </row>
    <row r="32">
      <c r="G32" s="33" t="n"/>
      <c r="H32" s="33" t="n"/>
      <c r="I32" s="34">
        <f>SUM(I19:I31)</f>
        <v/>
      </c>
      <c r="J32" s="34">
        <f>SUM(J19:J31)</f>
        <v/>
      </c>
      <c r="K32" s="35">
        <f>SUM(K19:K31)</f>
        <v/>
      </c>
      <c r="L32" s="35">
        <f>SUM(L19:L31)</f>
        <v/>
      </c>
      <c r="M32" s="36">
        <f>SUM(M19:M31)</f>
        <v/>
      </c>
      <c r="N32" s="36">
        <f>SUM(N19:N31)</f>
        <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2:C23"/>
  <sheetViews>
    <sheetView topLeftCell="A5" zoomScale="166" zoomScaleNormal="166" workbookViewId="0">
      <selection activeCell="B13" sqref="B13"/>
    </sheetView>
  </sheetViews>
  <sheetFormatPr baseColWidth="10" defaultColWidth="8.83203125" defaultRowHeight="15" customHeight="1"/>
  <cols>
    <col width="35" customWidth="1" min="1" max="1"/>
    <col width="18" customWidth="1" min="2" max="2"/>
    <col width="40" customWidth="1" min="3" max="3"/>
  </cols>
  <sheetData>
    <row r="2">
      <c r="A2" s="1" t="inlineStr">
        <is>
          <t>UPLIFT ASSUMPTIONS</t>
        </is>
      </c>
    </row>
    <row r="3">
      <c r="A3" s="9" t="inlineStr">
        <is>
          <t>Noise records - LOW (EDI cancelled within 10 min)</t>
        </is>
      </c>
      <c r="B3" s="37" t="n">
        <v>2165</v>
      </c>
      <c r="C3" s="38" t="inlineStr">
        <is>
          <t>Source: TRANSLOG - EDI cancellations within 10 min (2,209 × 98%)</t>
        </is>
      </c>
    </row>
    <row r="4">
      <c r="A4" s="9" t="inlineStr">
        <is>
          <t>Noise records - HIGH (EDI cancelled within 60 min)</t>
        </is>
      </c>
      <c r="B4" s="37" t="n">
        <v>3673</v>
      </c>
      <c r="C4" s="38" t="inlineStr">
        <is>
          <t>Source: TRANSLOG - EDI cancellations within 60 min (10min + 30min + 60min buckets)</t>
        </is>
      </c>
    </row>
    <row r="5">
      <c r="A5" s="1" t="inlineStr">
        <is>
          <t>BASELINE INPUTS</t>
        </is>
      </c>
    </row>
    <row r="6">
      <c r="A6" s="9" t="inlineStr">
        <is>
          <t>Total Records</t>
        </is>
      </c>
      <c r="B6" s="4">
        <f>INPUT_Baseline!B2</f>
        <v/>
      </c>
    </row>
    <row r="7">
      <c r="A7" s="9" t="inlineStr">
        <is>
          <t>Current Conversions</t>
        </is>
      </c>
      <c r="B7" s="4">
        <f>INPUT_Baseline!B4</f>
        <v/>
      </c>
    </row>
    <row r="8">
      <c r="A8" s="9" t="inlineStr">
        <is>
          <t>Current Conversion Rate</t>
        </is>
      </c>
      <c r="B8" s="5">
        <f>INPUT_Baseline!B3</f>
        <v/>
      </c>
    </row>
    <row r="10">
      <c r="A10" s="1" t="inlineStr">
        <is>
          <t>CALCULATION</t>
        </is>
      </c>
    </row>
    <row r="11">
      <c r="A11" s="3" t="inlineStr">
        <is>
          <t>Noise Records (low)</t>
        </is>
      </c>
      <c r="B11" s="14">
        <f>B3</f>
        <v/>
      </c>
    </row>
    <row r="12">
      <c r="A12" s="3" t="inlineStr">
        <is>
          <t>Noise Records (high)</t>
        </is>
      </c>
      <c r="B12" s="14">
        <f>B4</f>
        <v/>
      </c>
    </row>
    <row r="13">
      <c r="A13" s="3" t="inlineStr">
        <is>
          <t>Adjusted Total Records (low)</t>
        </is>
      </c>
      <c r="B13" s="14">
        <f>B6-B11</f>
        <v/>
      </c>
    </row>
    <row r="14">
      <c r="A14" s="3" t="inlineStr">
        <is>
          <t>Adjusted Total Records (high)</t>
        </is>
      </c>
      <c r="B14" s="14">
        <f>B6-B12</f>
        <v/>
      </c>
    </row>
    <row r="15">
      <c r="A15" s="3" t="inlineStr">
        <is>
          <t>Current Conversions (unchanged)</t>
        </is>
      </c>
      <c r="B15" s="14">
        <f>B7</f>
        <v/>
      </c>
    </row>
    <row r="16">
      <c r="A16" s="6" t="inlineStr">
        <is>
          <t>Adjusted Conversion Rate (low)</t>
        </is>
      </c>
      <c r="B16" s="16">
        <f>B7/B13</f>
        <v/>
      </c>
    </row>
    <row r="17">
      <c r="A17" s="39" t="inlineStr">
        <is>
          <t>Adjusted Conversion Rate (high)</t>
        </is>
      </c>
      <c r="B17" s="40">
        <f>B7/B14</f>
        <v/>
      </c>
    </row>
    <row r="18">
      <c r="A18" s="41" t="n"/>
      <c r="B18" s="42" t="n"/>
    </row>
    <row r="19">
      <c r="A19" s="1" t="inlineStr">
        <is>
          <t>OUTPUT</t>
        </is>
      </c>
    </row>
    <row r="20">
      <c r="A20" s="17" t="inlineStr">
        <is>
          <t>Records Removed (low)</t>
        </is>
      </c>
      <c r="B20" s="31">
        <f>B11</f>
        <v/>
      </c>
    </row>
    <row r="21">
      <c r="A21" s="17" t="inlineStr">
        <is>
          <t>Records Removed (high)</t>
        </is>
      </c>
      <c r="B21" s="31">
        <f>B12</f>
        <v/>
      </c>
    </row>
    <row r="22">
      <c r="A22" s="17" t="inlineStr">
        <is>
          <t>Conversion Rate Lift (low)</t>
        </is>
      </c>
      <c r="B22" s="18">
        <f>B16-B8</f>
        <v/>
      </c>
    </row>
    <row r="23">
      <c r="A23" s="17" t="inlineStr">
        <is>
          <t>Conversion Rate Lift (high)</t>
        </is>
      </c>
      <c r="B23" s="18">
        <f>B17-B8</f>
        <v/>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2:C23"/>
  <sheetViews>
    <sheetView zoomScaleNormal="100" workbookViewId="0">
      <selection activeCell="A5" sqref="A5"/>
    </sheetView>
  </sheetViews>
  <sheetFormatPr baseColWidth="10" defaultColWidth="8.83203125" defaultRowHeight="15" customHeight="1"/>
  <cols>
    <col width="35" customWidth="1" min="1" max="1"/>
    <col width="18" customWidth="1" min="2" max="2"/>
    <col width="40" customWidth="1" min="3" max="3"/>
  </cols>
  <sheetData>
    <row r="2">
      <c r="A2" s="1" t="inlineStr">
        <is>
          <t>UPLIFT ASSUMPTIONS</t>
        </is>
      </c>
    </row>
    <row r="3">
      <c r="A3" s="9" t="inlineStr">
        <is>
          <t>Shift % (low)</t>
        </is>
      </c>
      <c r="B3" s="5" t="n">
        <v>0.05</v>
      </c>
      <c r="C3" s="9" t="inlineStr">
        <is>
          <t>Source: Conservative assumption</t>
        </is>
      </c>
    </row>
    <row r="4">
      <c r="A4" s="9" t="inlineStr">
        <is>
          <t>Shift % (high)</t>
        </is>
      </c>
      <c r="B4" s="5" t="n">
        <v>0.1</v>
      </c>
      <c r="C4" s="9" t="inlineStr">
        <is>
          <t>Source: Aggressive assumption</t>
        </is>
      </c>
    </row>
    <row r="6">
      <c r="A6" s="1" t="inlineStr">
        <is>
          <t>BASELINE INPUTS</t>
        </is>
      </c>
    </row>
    <row r="7">
      <c r="A7" s="9" t="inlineStr">
        <is>
          <t>NO CONTACT Records</t>
        </is>
      </c>
      <c r="B7" s="4">
        <f>INPUT_Baseline!B10</f>
        <v/>
      </c>
    </row>
    <row r="8">
      <c r="A8" s="9" t="inlineStr">
        <is>
          <t>NO CONTACT Conversion Rate</t>
        </is>
      </c>
      <c r="B8" s="5" t="n">
        <v>0.007</v>
      </c>
      <c r="C8" t="inlineStr">
        <is>
          <t>Source: This is the non-Licensee success rate (Licensee data skews averages since 99% of their leads do not have contact data)</t>
        </is>
      </c>
    </row>
    <row r="9">
      <c r="A9" s="9" t="inlineStr">
        <is>
          <t>COUNTER Conversion Rate</t>
        </is>
      </c>
      <c r="B9" s="5">
        <f>INPUT_Baseline!C8</f>
        <v/>
      </c>
    </row>
    <row r="10">
      <c r="A10" s="9" t="inlineStr">
        <is>
          <t>Total Records (for pp calc)</t>
        </is>
      </c>
      <c r="B10" s="4">
        <f>INPUT_Baseline!B2</f>
        <v/>
      </c>
    </row>
    <row r="12">
      <c r="A12" s="1" t="inlineStr">
        <is>
          <t>CALCULATION</t>
        </is>
      </c>
    </row>
    <row r="13">
      <c r="A13" s="3" t="inlineStr">
        <is>
          <t>Volume Shifted (low)</t>
        </is>
      </c>
      <c r="B13" s="14">
        <f>B7*B3</f>
        <v/>
      </c>
    </row>
    <row r="14">
      <c r="A14" s="3" t="inlineStr">
        <is>
          <t>Volume Shifted (high)</t>
        </is>
      </c>
      <c r="B14" s="14">
        <f>B7*B4</f>
        <v/>
      </c>
    </row>
    <row r="15">
      <c r="A15" s="3" t="inlineStr">
        <is>
          <t>Conversion Delta</t>
        </is>
      </c>
      <c r="B15" s="16">
        <f>B9-B8</f>
        <v/>
      </c>
    </row>
    <row r="16">
      <c r="A16" s="3" t="inlineStr">
        <is>
          <t>Uplift (low)</t>
        </is>
      </c>
      <c r="B16" s="14">
        <f>B13*B15</f>
        <v/>
      </c>
    </row>
    <row r="17">
      <c r="A17" s="3" t="inlineStr">
        <is>
          <t>Uplift (high)</t>
        </is>
      </c>
      <c r="B17" s="14">
        <f>B14*B15</f>
        <v/>
      </c>
    </row>
    <row r="19">
      <c r="A19" s="1" t="inlineStr">
        <is>
          <t>OUTPUT</t>
        </is>
      </c>
    </row>
    <row r="20">
      <c r="A20" s="17" t="inlineStr">
        <is>
          <t>Additional Conversions (low)</t>
        </is>
      </c>
      <c r="B20" s="31">
        <f>B16</f>
        <v/>
      </c>
    </row>
    <row r="21">
      <c r="A21" s="17" t="inlineStr">
        <is>
          <t>Additional Conversions (high)</t>
        </is>
      </c>
      <c r="B21" s="31">
        <f>B17</f>
        <v/>
      </c>
    </row>
    <row r="22">
      <c r="A22" s="17" t="inlineStr">
        <is>
          <t>Uplift % pts (low)</t>
        </is>
      </c>
      <c r="B22" s="18">
        <f>B20/B10</f>
        <v/>
      </c>
    </row>
    <row r="23">
      <c r="A23" s="17" t="inlineStr">
        <is>
          <t>Uplift % pts (high)</t>
        </is>
      </c>
      <c r="B23" s="18">
        <f>B21/B10</f>
        <v/>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2:C23"/>
  <sheetViews>
    <sheetView zoomScaleNormal="100" workbookViewId="0">
      <selection activeCell="C15" sqref="C15"/>
    </sheetView>
  </sheetViews>
  <sheetFormatPr baseColWidth="10" defaultColWidth="8.83203125" defaultRowHeight="15" customHeight="1"/>
  <cols>
    <col width="35" customWidth="1" min="1" max="1"/>
    <col width="18" customWidth="1" min="2" max="2"/>
    <col width="50" customWidth="1" min="3" max="3"/>
  </cols>
  <sheetData>
    <row r="2">
      <c r="A2" s="43" t="inlineStr">
        <is>
          <t>UPLIFT ASSUMPTIONS</t>
        </is>
      </c>
    </row>
    <row r="3">
      <c r="A3" s="44" t="inlineStr">
        <is>
          <t>Gap Close % (low)</t>
        </is>
      </c>
      <c r="B3" s="45" t="n">
        <v>0.15</v>
      </c>
      <c r="C3" s="44" t="inlineStr">
        <is>
          <t>Source: Conservative assumption</t>
        </is>
      </c>
    </row>
    <row r="4">
      <c r="A4" s="46" t="inlineStr">
        <is>
          <t>Gap Close % (high)</t>
        </is>
      </c>
      <c r="B4" s="46" t="n">
        <v>0.25</v>
      </c>
      <c r="C4" s="46" t="inlineStr">
        <is>
          <t>Source: Optimistic assumption</t>
        </is>
      </c>
    </row>
    <row r="5">
      <c r="A5" t="inlineStr">
        <is>
          <t>% of calls with bad verbiage</t>
        </is>
      </c>
      <c r="B5" t="n">
        <v>0.2</v>
      </c>
      <c r="C5" t="inlineStr">
        <is>
          <t>assume 20% of HRD calls have problematic verbiage</t>
        </is>
      </c>
    </row>
    <row r="6">
      <c r="A6" s="43" t="inlineStr">
        <is>
          <t>BASELINE INPUTS</t>
        </is>
      </c>
    </row>
    <row r="7">
      <c r="A7" s="44" t="inlineStr">
        <is>
          <t>HRD + NO MMR Records</t>
        </is>
      </c>
      <c r="B7" s="47" t="n">
        <v>22148</v>
      </c>
      <c r="C7" s="50" t="n"/>
    </row>
    <row r="8">
      <c r="A8" s="44" t="inlineStr">
        <is>
          <t>HRD + NO MMR Conversion Rate</t>
        </is>
      </c>
      <c r="B8" s="45" t="n">
        <v>0.516</v>
      </c>
      <c r="C8" s="50" t="n"/>
    </row>
    <row r="9">
      <c r="A9" s="44" t="inlineStr">
        <is>
          <t>HRD + MMR Conversion Rate</t>
        </is>
      </c>
      <c r="B9" s="45" t="n">
        <v>0.694</v>
      </c>
      <c r="C9" s="50" t="n"/>
    </row>
    <row r="10">
      <c r="A10" s="44" t="inlineStr">
        <is>
          <t>Total Records (for pp calc)</t>
        </is>
      </c>
      <c r="B10" s="47" t="n">
        <v>68360</v>
      </c>
      <c r="C10" s="50" t="n"/>
    </row>
    <row r="12">
      <c r="A12" s="43" t="inlineStr">
        <is>
          <t>CALCULATION</t>
        </is>
      </c>
    </row>
    <row r="13">
      <c r="A13" s="48" t="inlineStr">
        <is>
          <t>Conversion Gap</t>
        </is>
      </c>
      <c r="B13" s="49" t="n">
        <v>0.178</v>
      </c>
      <c r="C13" s="50" t="n"/>
    </row>
    <row r="14">
      <c r="A14" s="48" t="inlineStr">
        <is>
          <t>Improvement (low)</t>
        </is>
      </c>
      <c r="B14" s="49" t="n">
        <v>0.0267</v>
      </c>
      <c r="C14" s="50" t="n"/>
    </row>
    <row r="15">
      <c r="A15" s="48" t="inlineStr">
        <is>
          <t>Improvement (high)</t>
        </is>
      </c>
      <c r="B15" s="51" t="n">
        <v>0.0445</v>
      </c>
      <c r="C15" s="50" t="n"/>
    </row>
    <row r="16">
      <c r="A16" s="50" t="inlineStr">
        <is>
          <t>Uplift (low)</t>
        </is>
      </c>
      <c r="B16" s="50" t="n">
        <v>118.27032</v>
      </c>
      <c r="C16" s="50" t="n"/>
    </row>
    <row r="17">
      <c r="A17" s="50" t="inlineStr">
        <is>
          <t>Uplift (high)</t>
        </is>
      </c>
      <c r="B17" s="50" t="n">
        <v>197.1172</v>
      </c>
      <c r="C17" s="50" t="n"/>
    </row>
    <row r="18">
      <c r="A18" s="17" t="n"/>
      <c r="B18" s="31" t="n"/>
    </row>
    <row r="19">
      <c r="A19" s="52" t="inlineStr">
        <is>
          <t>OUTPUT</t>
        </is>
      </c>
      <c r="B19" s="53" t="n"/>
    </row>
    <row r="20">
      <c r="A20" s="54" t="inlineStr">
        <is>
          <t>Additional Conversions (low)</t>
        </is>
      </c>
      <c r="B20" s="54" t="n">
        <v>118.27032</v>
      </c>
      <c r="C20" s="50" t="n"/>
    </row>
    <row r="21">
      <c r="A21" s="54" t="inlineStr">
        <is>
          <t>Additional Conversions (high)</t>
        </is>
      </c>
      <c r="B21" s="54" t="n">
        <v>197.1172</v>
      </c>
      <c r="C21" s="50" t="n"/>
    </row>
    <row r="22">
      <c r="A22" s="54" t="inlineStr">
        <is>
          <t>Uplift % pts (low)</t>
        </is>
      </c>
      <c r="B22" s="71" t="n">
        <v>0.001730110005851375</v>
      </c>
      <c r="C22" s="50" t="n"/>
    </row>
    <row r="23">
      <c r="A23" s="54" t="inlineStr">
        <is>
          <t>Uplift % pts (high)</t>
        </is>
      </c>
      <c r="B23" s="71" t="n">
        <v>0.002883516676418958</v>
      </c>
      <c r="C23" s="50" t="n"/>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2:C65"/>
  <sheetViews>
    <sheetView topLeftCell="A12" zoomScaleNormal="100" workbookViewId="0">
      <selection activeCell="C27" sqref="C27"/>
    </sheetView>
  </sheetViews>
  <sheetFormatPr baseColWidth="10" defaultColWidth="8.83203125" defaultRowHeight="15" customHeight="1"/>
  <cols>
    <col width="40" customWidth="1" min="1" max="1"/>
    <col width="18" customWidth="1" min="2" max="2"/>
    <col width="45" customWidth="1" min="3" max="3"/>
  </cols>
  <sheetData>
    <row r="2">
      <c r="A2" s="43" t="inlineStr">
        <is>
          <t>UPLIFT ASSUMPTIONS</t>
        </is>
      </c>
      <c r="B2" s="55" t="n"/>
      <c r="C2" s="55" t="n"/>
    </row>
    <row r="3">
      <c r="A3" s="55" t="n"/>
      <c r="B3" s="55" t="n"/>
      <c r="C3" s="55" t="n"/>
    </row>
    <row r="4">
      <c r="A4" s="44" t="inlineStr">
        <is>
          <t>Immediate Need % of HRD</t>
        </is>
      </c>
      <c r="B4" s="45" t="n">
        <v>0.133</v>
      </c>
      <c r="C4" s="46" t="inlineStr">
        <is>
          <t>Source: 90/677 calls = Pickup Requested segment</t>
        </is>
      </c>
    </row>
    <row r="5">
      <c r="A5" s="44" t="inlineStr">
        <is>
          <t>Current Transfer %</t>
        </is>
      </c>
      <c r="B5" s="45" t="n">
        <v>0.62</v>
      </c>
      <c r="C5" s="46" t="inlineStr">
        <is>
          <t>Source: 56/90 currently transferred</t>
        </is>
      </c>
    </row>
    <row r="6">
      <c r="A6" s="44" t="inlineStr">
        <is>
          <t>Target Transfer %</t>
        </is>
      </c>
      <c r="B6" s="45" t="n">
        <v>1</v>
      </c>
      <c r="C6" s="46" t="inlineStr">
        <is>
          <t>Source: Process change - all immediate need transferred</t>
        </is>
      </c>
    </row>
    <row r="7">
      <c r="A7" s="44" t="inlineStr">
        <is>
          <t>Current Warm %</t>
        </is>
      </c>
      <c r="B7" s="45" t="n">
        <v>0.68</v>
      </c>
      <c r="C7" s="46" t="inlineStr">
        <is>
          <t>Source: 57/84 currently warm transferred</t>
        </is>
      </c>
    </row>
    <row r="8">
      <c r="A8" s="44" t="inlineStr">
        <is>
          <t>Target Warm %</t>
        </is>
      </c>
      <c r="B8" s="45" t="n">
        <v>1</v>
      </c>
      <c r="C8" s="46" t="inlineStr">
        <is>
          <t>Source: Process change - no cold transfers</t>
        </is>
      </c>
    </row>
    <row r="9">
      <c r="A9" s="44" t="inlineStr">
        <is>
          <t>Current Branch Answer %</t>
        </is>
      </c>
      <c r="B9" s="45" t="n">
        <v>0.61</v>
      </c>
      <c r="C9" s="46" t="inlineStr">
        <is>
          <t>Source: 35/57 branch answered</t>
        </is>
      </c>
    </row>
    <row r="10">
      <c r="A10" s="44" t="inlineStr">
        <is>
          <t>Target Branch Answer % (low)</t>
        </is>
      </c>
      <c r="B10" s="45" t="n">
        <v>0.65</v>
      </c>
      <c r="C10" s="46" t="inlineStr">
        <is>
          <t>Source: Conservative target</t>
        </is>
      </c>
    </row>
    <row r="11">
      <c r="A11" s="46" t="inlineStr">
        <is>
          <t>Target Branch Answer % (high)</t>
        </is>
      </c>
      <c r="B11" s="46" t="n">
        <v>0.75</v>
      </c>
      <c r="C11" s="46" t="inlineStr">
        <is>
          <t>Source: Optimistic target with escalation protocol</t>
        </is>
      </c>
    </row>
    <row r="12">
      <c r="A12" s="44" t="inlineStr">
        <is>
          <t>Cold Transfer Conversion</t>
        </is>
      </c>
      <c r="B12" s="45" t="n">
        <v>0.6</v>
      </c>
      <c r="C12" s="46" t="inlineStr">
        <is>
          <t>Source: Cold transfer still converts but at lower rate</t>
        </is>
      </c>
    </row>
    <row r="13">
      <c r="A13" s="44" t="inlineStr">
        <is>
          <t>Warm Transfer Conversion</t>
        </is>
      </c>
      <c r="B13" s="45" t="n">
        <v>0.7</v>
      </c>
      <c r="C13" s="46" t="inlineStr">
        <is>
          <t>Source: HRD (53.8%) and COUNTER (70%); conservative let's use COUNTER</t>
        </is>
      </c>
    </row>
    <row r="14">
      <c r="A14" s="55" t="n"/>
      <c r="B14" s="55" t="n"/>
      <c r="C14" s="55" t="n"/>
    </row>
    <row r="15">
      <c r="A15" s="43" t="inlineStr">
        <is>
          <t>BASELINE INPUTS</t>
        </is>
      </c>
      <c r="B15" s="55" t="n"/>
      <c r="C15" s="55" t="n"/>
    </row>
    <row r="16">
      <c r="A16" s="44" t="inlineStr">
        <is>
          <t>Total HRD Records</t>
        </is>
      </c>
      <c r="B16" s="47">
        <f>INPUT_Baseline!B9</f>
        <v/>
      </c>
      <c r="C16" s="46" t="n"/>
    </row>
    <row r="17">
      <c r="A17" s="44" t="inlineStr">
        <is>
          <t>Total Records (for pp calc)</t>
        </is>
      </c>
      <c r="B17" s="47">
        <f>INPUT_Baseline!B2</f>
        <v/>
      </c>
      <c r="C17" s="46" t="n"/>
    </row>
    <row r="18">
      <c r="A18" s="55" t="n"/>
      <c r="B18" s="55" t="n"/>
      <c r="C18" s="55" t="n"/>
    </row>
    <row r="19">
      <c r="A19" s="43" t="inlineStr">
        <is>
          <t>CALCULATION</t>
        </is>
      </c>
      <c r="B19" s="55" t="n"/>
      <c r="C19" s="55" t="n"/>
    </row>
    <row r="20">
      <c r="A20" s="48" t="inlineStr">
        <is>
          <t>Immediate Need Volume</t>
        </is>
      </c>
      <c r="B20" s="51">
        <f>B16*B4</f>
        <v/>
      </c>
      <c r="C20" s="50" t="n"/>
    </row>
    <row r="21">
      <c r="A21" s="48" t="inlineStr">
        <is>
          <t>Current: Transferred</t>
        </is>
      </c>
      <c r="B21" s="51">
        <f>B20*B5</f>
        <v/>
      </c>
      <c r="C21" s="50" t="n"/>
    </row>
    <row r="22">
      <c r="A22" s="48" t="inlineStr">
        <is>
          <t>Current: Warm transfers reaching branch</t>
        </is>
      </c>
      <c r="B22" s="51">
        <f>B21*B7*B9</f>
        <v/>
      </c>
      <c r="C22" s="50" t="n"/>
    </row>
    <row r="23">
      <c r="A23" s="48" t="inlineStr">
        <is>
          <t>Current: Cold transfers</t>
        </is>
      </c>
      <c r="B23" s="56">
        <f>B21*(1-B7)</f>
        <v/>
      </c>
      <c r="C23" s="50" t="n"/>
    </row>
    <row r="24">
      <c r="A24" s="48" t="inlineStr">
        <is>
          <t>Current: Conversions from warm</t>
        </is>
      </c>
      <c r="B24" s="51">
        <f>B22*B13</f>
        <v/>
      </c>
      <c r="C24" s="50" t="n"/>
    </row>
    <row r="25">
      <c r="A25" s="48" t="inlineStr">
        <is>
          <t>Current: Conversions from cold</t>
        </is>
      </c>
      <c r="B25" s="51">
        <f>B23*B12</f>
        <v/>
      </c>
      <c r="C25" s="50" t="n"/>
    </row>
    <row r="26">
      <c r="A26" s="48" t="inlineStr">
        <is>
          <t>Current: Total Conversions</t>
        </is>
      </c>
      <c r="B26" s="51">
        <f>B24+B25</f>
        <v/>
      </c>
      <c r="C26" s="50" t="n"/>
    </row>
    <row r="27">
      <c r="A27" s="55" t="n"/>
      <c r="B27" s="55" t="n"/>
      <c r="C27" s="55" t="n"/>
    </row>
    <row r="28">
      <c r="A28" s="48" t="inlineStr">
        <is>
          <t>Target: Transferred</t>
        </is>
      </c>
      <c r="B28" s="51">
        <f>B20*B6</f>
        <v/>
      </c>
      <c r="C28" s="50" t="n"/>
    </row>
    <row r="29">
      <c r="A29" s="48" t="inlineStr">
        <is>
          <t>Target: Warm transfers reaching branch (low)</t>
        </is>
      </c>
      <c r="B29" s="51">
        <f>B28*B8*B10</f>
        <v/>
      </c>
      <c r="C29" s="50" t="n"/>
    </row>
    <row r="30">
      <c r="A30" s="48" t="inlineStr">
        <is>
          <t>Target: Warm transfers reaching branch (high)</t>
        </is>
      </c>
      <c r="B30" s="51">
        <f>B28*B8*B11</f>
        <v/>
      </c>
      <c r="C30" s="50" t="n"/>
    </row>
    <row r="31">
      <c r="A31" s="50" t="inlineStr">
        <is>
          <t>Target: Conversions (low)</t>
        </is>
      </c>
      <c r="B31" s="50">
        <f>B29*B13</f>
        <v/>
      </c>
      <c r="C31" s="50" t="n"/>
    </row>
    <row r="32">
      <c r="A32" s="48" t="inlineStr">
        <is>
          <t>Target: Conversions (high)</t>
        </is>
      </c>
      <c r="B32" s="51">
        <f>B30*B13</f>
        <v/>
      </c>
      <c r="C32" s="50" t="n"/>
    </row>
    <row r="33">
      <c r="A33" s="55" t="n"/>
      <c r="B33" s="55" t="n"/>
      <c r="C33" s="55" t="n"/>
    </row>
    <row r="34">
      <c r="A34" s="50" t="inlineStr">
        <is>
          <t>Uplift (low)</t>
        </is>
      </c>
      <c r="B34" s="50">
        <f>B31-B26</f>
        <v/>
      </c>
      <c r="C34" s="50" t="n"/>
    </row>
    <row r="35">
      <c r="A35" s="48" t="inlineStr">
        <is>
          <t>Uplift (high)</t>
        </is>
      </c>
      <c r="B35" s="51">
        <f>B32-B26</f>
        <v/>
      </c>
      <c r="C35" s="50" t="n"/>
    </row>
    <row r="36">
      <c r="A36" s="57" t="n"/>
      <c r="B36" s="58" t="n"/>
      <c r="C36" s="55" t="n"/>
    </row>
    <row r="37">
      <c r="A37" s="43" t="inlineStr">
        <is>
          <t>OUTPUT</t>
        </is>
      </c>
      <c r="B37" s="55" t="n"/>
      <c r="C37" s="55" t="n"/>
    </row>
    <row r="38">
      <c r="A38" s="54" t="inlineStr">
        <is>
          <t>Additional Conversions (low)</t>
        </is>
      </c>
      <c r="B38" s="54">
        <f>B34</f>
        <v/>
      </c>
      <c r="C38" s="54" t="n"/>
    </row>
    <row r="39">
      <c r="A39" s="54" t="inlineStr">
        <is>
          <t>Additional Conversions (high)</t>
        </is>
      </c>
      <c r="B39" s="59">
        <f>B35</f>
        <v/>
      </c>
      <c r="C39" s="54" t="n"/>
    </row>
    <row r="40">
      <c r="A40" s="54" t="inlineStr">
        <is>
          <t>Uplift % pts (low)</t>
        </is>
      </c>
      <c r="B40" s="54">
        <f>B38/B17</f>
        <v/>
      </c>
      <c r="C40" s="54" t="n"/>
    </row>
    <row r="41">
      <c r="A41" s="54" t="inlineStr">
        <is>
          <t>Uplift % pts (high)</t>
        </is>
      </c>
      <c r="B41" s="54">
        <f>B39/B17</f>
        <v/>
      </c>
      <c r="C41" s="54" t="n"/>
    </row>
    <row r="42">
      <c r="A42" s="55" t="n"/>
      <c r="B42" s="55" t="n"/>
      <c r="C42" s="55" t="n"/>
    </row>
    <row r="43">
      <c r="A43" s="55" t="n"/>
      <c r="B43" s="55" t="n"/>
      <c r="C43" s="55" t="n"/>
    </row>
    <row r="44">
      <c r="A44" s="55" t="n"/>
      <c r="B44" s="55" t="n"/>
      <c r="C44" s="55" t="n"/>
    </row>
    <row r="45">
      <c r="A45" s="55" t="n"/>
      <c r="B45" s="55" t="n"/>
      <c r="C45" s="55" t="n"/>
    </row>
    <row r="46">
      <c r="A46" s="55" t="n"/>
      <c r="B46" s="55" t="n"/>
      <c r="C46" s="55" t="n"/>
    </row>
    <row r="47">
      <c r="A47" s="55" t="n"/>
      <c r="B47" s="55" t="n"/>
      <c r="C47" s="55" t="n"/>
    </row>
    <row r="48">
      <c r="A48" s="55" t="n"/>
      <c r="B48" s="55" t="n"/>
      <c r="C48" s="55" t="n"/>
    </row>
    <row r="49">
      <c r="A49" s="55" t="n"/>
      <c r="B49" s="55" t="n"/>
      <c r="C49" s="55" t="n"/>
    </row>
    <row r="50">
      <c r="A50" s="55" t="n"/>
      <c r="B50" s="55" t="n"/>
      <c r="C50" s="55" t="n"/>
    </row>
    <row r="51">
      <c r="A51" s="55" t="n"/>
      <c r="B51" s="55" t="n"/>
      <c r="C51" s="55" t="n"/>
    </row>
    <row r="52">
      <c r="A52" s="55" t="n"/>
      <c r="B52" s="55" t="n"/>
      <c r="C52" s="55" t="n"/>
    </row>
    <row r="53">
      <c r="A53" s="55" t="n"/>
      <c r="B53" s="55" t="n"/>
      <c r="C53" s="55" t="n"/>
    </row>
    <row r="54">
      <c r="A54" s="55" t="n"/>
      <c r="B54" s="55" t="n"/>
      <c r="C54" s="55" t="n"/>
    </row>
    <row r="55">
      <c r="A55" s="55" t="n"/>
      <c r="B55" s="55" t="n"/>
      <c r="C55" s="55" t="n"/>
    </row>
    <row r="56">
      <c r="A56" s="55" t="n"/>
      <c r="B56" s="55" t="n"/>
      <c r="C56" s="55" t="n"/>
    </row>
    <row r="57">
      <c r="A57" s="55" t="n"/>
      <c r="B57" s="55" t="n"/>
      <c r="C57" s="55" t="n"/>
    </row>
    <row r="58">
      <c r="A58" s="55" t="n"/>
      <c r="B58" s="55" t="n"/>
      <c r="C58" s="55" t="n"/>
    </row>
    <row r="59">
      <c r="A59" s="55" t="n"/>
      <c r="B59" s="55" t="n"/>
      <c r="C59" s="55" t="n"/>
    </row>
    <row r="60">
      <c r="A60" s="55" t="n"/>
      <c r="B60" s="55" t="n"/>
      <c r="C60" s="55" t="n"/>
    </row>
    <row r="61">
      <c r="A61" s="55" t="n"/>
      <c r="B61" s="55" t="n"/>
      <c r="C61" s="55" t="n"/>
    </row>
    <row r="62">
      <c r="A62" s="55" t="n"/>
      <c r="B62" s="55" t="n"/>
      <c r="C62" s="55" t="n"/>
    </row>
    <row r="63">
      <c r="A63" s="55" t="n"/>
      <c r="B63" s="55" t="n"/>
      <c r="C63" s="55" t="n"/>
    </row>
    <row r="64">
      <c r="A64" s="55" t="n"/>
      <c r="B64" s="55" t="n"/>
      <c r="C64" s="55" t="n"/>
    </row>
    <row r="65">
      <c r="A65" s="55" t="n"/>
      <c r="B65" s="55" t="n"/>
      <c r="C65" s="55" t="n"/>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2:C27"/>
  <sheetViews>
    <sheetView zoomScaleNormal="100" workbookViewId="0">
      <selection activeCell="C22" sqref="C22"/>
    </sheetView>
  </sheetViews>
  <sheetFormatPr baseColWidth="10" defaultColWidth="8.83203125" defaultRowHeight="15" customHeight="1"/>
  <cols>
    <col width="40" customWidth="1" min="1" max="1"/>
    <col width="18" customWidth="1" min="2" max="2"/>
    <col width="50" customWidth="1" min="3" max="3"/>
  </cols>
  <sheetData>
    <row r="2">
      <c r="A2" s="1" t="inlineStr">
        <is>
          <t>UPLIFT ASSUMPTIONS</t>
        </is>
      </c>
    </row>
    <row r="3">
      <c r="A3" s="9" t="inlineStr">
        <is>
          <t>Reminder Lift on Click Rate (low)</t>
        </is>
      </c>
      <c r="B3" s="5" t="n">
        <v>0.2422360248447205</v>
      </c>
      <c r="C3" s="9" t="inlineStr">
        <is>
          <t>Target: 40% click rate (vs 32.2% baseline)</t>
        </is>
      </c>
    </row>
    <row r="4">
      <c r="A4" s="9" t="inlineStr">
        <is>
          <t>Reminder Lift on Click Rate (high)</t>
        </is>
      </c>
      <c r="B4" s="5" t="n">
        <v>0.5527950310559006</v>
      </c>
      <c r="C4" s="9" t="inlineStr">
        <is>
          <t>Target: 50% click rate (vs 32.2% baseline)</t>
        </is>
      </c>
    </row>
    <row r="6">
      <c r="A6" s="1" t="inlineStr">
        <is>
          <t>BASELINE INPUTS</t>
        </is>
      </c>
    </row>
    <row r="7">
      <c r="A7" s="9" t="inlineStr">
        <is>
          <t>Total Records</t>
        </is>
      </c>
      <c r="B7" s="4" t="n">
        <v>68360</v>
      </c>
    </row>
    <row r="8">
      <c r="A8" s="9" t="inlineStr">
        <is>
          <t>Current Click Rate</t>
        </is>
      </c>
      <c r="B8" s="5" t="n">
        <v>0.322</v>
      </c>
    </row>
    <row r="9">
      <c r="A9" s="9" t="inlineStr">
        <is>
          <t>Page 1 Completion Rate</t>
        </is>
      </c>
      <c r="B9" s="5" t="n">
        <v>0.87</v>
      </c>
    </row>
    <row r="10">
      <c r="A10" s="9" t="inlineStr">
        <is>
          <t>Page 2 Completion Rate</t>
        </is>
      </c>
      <c r="B10" s="5" t="n">
        <v>0.66</v>
      </c>
    </row>
    <row r="11">
      <c r="A11" s="9" t="inlineStr">
        <is>
          <t>Blended MMR Conversion Lift</t>
        </is>
      </c>
      <c r="B11" s="5" t="n">
        <v>0.137128</v>
      </c>
    </row>
    <row r="13">
      <c r="A13" s="1" t="inlineStr">
        <is>
          <t>CALCULATION</t>
        </is>
      </c>
    </row>
    <row r="14">
      <c r="A14" s="3" t="inlineStr">
        <is>
          <t>New Click Rate (low)</t>
        </is>
      </c>
      <c r="B14" s="16" t="n">
        <v>0.4000000000000001</v>
      </c>
    </row>
    <row r="15">
      <c r="A15" s="3" t="inlineStr">
        <is>
          <t>New Click Rate (high)</t>
        </is>
      </c>
      <c r="B15" s="16" t="n">
        <v>0.5</v>
      </c>
    </row>
    <row r="16">
      <c r="A16" s="3" t="inlineStr">
        <is>
          <t>Additional Clickers (low)</t>
        </is>
      </c>
      <c r="B16" s="14" t="n">
        <v>5332.080000000004</v>
      </c>
    </row>
    <row r="17">
      <c r="A17" s="3" t="inlineStr">
        <is>
          <t>Additional Clickers (high)</t>
        </is>
      </c>
      <c r="B17" s="14" t="n">
        <v>12168.08</v>
      </c>
    </row>
    <row r="18">
      <c r="A18" s="3" t="inlineStr">
        <is>
          <t>Additional MMR Completions (low)</t>
        </is>
      </c>
      <c r="B18" s="14" t="n">
        <v>3061.680336000003</v>
      </c>
    </row>
    <row r="19">
      <c r="A19" s="3" t="inlineStr">
        <is>
          <t>Additional MMR Completions (high)</t>
        </is>
      </c>
      <c r="B19" s="14" t="n">
        <v>6986.911536000001</v>
      </c>
    </row>
    <row r="20">
      <c r="A20" s="3" t="inlineStr">
        <is>
          <t>Uplift (low)</t>
        </is>
      </c>
      <c r="B20" s="14" t="n">
        <v>419.8421011150083</v>
      </c>
    </row>
    <row r="21">
      <c r="A21" s="3" t="inlineStr">
        <is>
          <t>Uplift (high)</t>
        </is>
      </c>
      <c r="B21" s="14" t="n">
        <v>958.101205108608</v>
      </c>
    </row>
    <row r="23">
      <c r="A23" s="1" t="inlineStr">
        <is>
          <t>OUTPUT</t>
        </is>
      </c>
    </row>
    <row r="24">
      <c r="A24" s="60" t="inlineStr">
        <is>
          <t>Additional Conversions (low)</t>
        </is>
      </c>
      <c r="B24" s="61" t="n">
        <v>419.8421011150083</v>
      </c>
    </row>
    <row r="25">
      <c r="A25" s="60" t="inlineStr">
        <is>
          <t>Additional Conversions (high)</t>
        </is>
      </c>
      <c r="B25" s="61" t="n">
        <v>958.101205108608</v>
      </c>
    </row>
    <row r="26">
      <c r="A26" s="60" t="inlineStr">
        <is>
          <t>Uplift % pts (low)</t>
        </is>
      </c>
      <c r="B26" s="62" t="n">
        <v>0.006141634012800005</v>
      </c>
    </row>
    <row r="27">
      <c r="A27" s="60" t="inlineStr">
        <is>
          <t>Uplift % pts (high)</t>
        </is>
      </c>
      <c r="B27" s="62" t="n">
        <v>0.0140155237728</v>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2:C27"/>
  <sheetViews>
    <sheetView zoomScaleNormal="100" workbookViewId="0">
      <selection activeCell="C35" sqref="C35"/>
    </sheetView>
  </sheetViews>
  <sheetFormatPr baseColWidth="10" defaultColWidth="8.83203125" defaultRowHeight="15" customHeight="1"/>
  <cols>
    <col width="40" customWidth="1" min="1" max="1"/>
    <col width="18" customWidth="1" min="2" max="2"/>
    <col width="50" customWidth="1" min="3" max="3"/>
  </cols>
  <sheetData>
    <row r="2">
      <c r="A2" s="1" t="inlineStr">
        <is>
          <t>UPLIFT ASSUMPTIONS</t>
        </is>
      </c>
    </row>
    <row r="3">
      <c r="A3" s="9" t="inlineStr">
        <is>
          <t>UX Lift on Page 2 Completion (low)</t>
        </is>
      </c>
      <c r="B3" s="5" t="n">
        <v>0.25</v>
      </c>
      <c r="C3" s="9" t="inlineStr">
        <is>
          <t>UX optimization: 25% lift on Page 2 completion</t>
        </is>
      </c>
    </row>
    <row r="4">
      <c r="A4" s="9" t="inlineStr">
        <is>
          <t>UX Lift on Page 2 Completion (high)</t>
        </is>
      </c>
      <c r="B4" s="5" t="n">
        <v>0.35</v>
      </c>
      <c r="C4" s="9" t="inlineStr">
        <is>
          <t>UX optimization: 35% lift on Page 2 completion</t>
        </is>
      </c>
    </row>
    <row r="6">
      <c r="A6" s="1" t="inlineStr">
        <is>
          <t>BASELINE INPUTS</t>
        </is>
      </c>
    </row>
    <row r="7">
      <c r="A7" s="9" t="inlineStr">
        <is>
          <t>Current Page 1 Completers</t>
        </is>
      </c>
      <c r="B7" s="4" t="n">
        <v>19150.3704</v>
      </c>
    </row>
    <row r="8">
      <c r="A8" s="9" t="inlineStr">
        <is>
          <t>Current Page 2 Completion Rate</t>
        </is>
      </c>
      <c r="B8" s="5" t="n">
        <v>0.66</v>
      </c>
    </row>
    <row r="9">
      <c r="A9" s="9" t="inlineStr">
        <is>
          <t>Blended MMR Conversion Lift</t>
        </is>
      </c>
      <c r="B9" s="5" t="n">
        <v>0.137128</v>
      </c>
    </row>
    <row r="10">
      <c r="A10" s="9" t="inlineStr">
        <is>
          <t>Total Records (for pp calc)</t>
        </is>
      </c>
      <c r="B10" s="4" t="n">
        <v>68360</v>
      </c>
    </row>
    <row r="12">
      <c r="A12" s="1" t="inlineStr">
        <is>
          <t>CALCULATION</t>
        </is>
      </c>
    </row>
    <row r="13">
      <c r="A13" s="3" t="inlineStr">
        <is>
          <t>New Page 2 Rate (low)</t>
        </is>
      </c>
      <c r="B13" s="16" t="n">
        <v>0.8250000000000001</v>
      </c>
    </row>
    <row r="14">
      <c r="A14" s="3" t="inlineStr">
        <is>
          <t>New Page 2 Rate (high)</t>
        </is>
      </c>
      <c r="B14" s="16" t="n">
        <v>0.8910000000000001</v>
      </c>
    </row>
    <row r="15">
      <c r="A15" s="3" t="inlineStr">
        <is>
          <t>Current Page 2 Completers</t>
        </is>
      </c>
      <c r="B15" s="14" t="n">
        <v>12639.244464</v>
      </c>
    </row>
    <row r="16">
      <c r="A16" s="3" t="inlineStr">
        <is>
          <t>New Page 2 Completers (low)</t>
        </is>
      </c>
      <c r="B16" s="14" t="n">
        <v>15799.05558</v>
      </c>
    </row>
    <row r="17">
      <c r="A17" s="3" t="inlineStr">
        <is>
          <t>New Page 2 Completers (high)</t>
        </is>
      </c>
      <c r="B17" s="14" t="n">
        <v>17062.9800264</v>
      </c>
    </row>
    <row r="18">
      <c r="A18" s="3" t="inlineStr">
        <is>
          <t>Additional Completions (low)</t>
        </is>
      </c>
      <c r="B18" s="14" t="n">
        <v>3159.811116000001</v>
      </c>
    </row>
    <row r="19">
      <c r="A19" s="3" t="inlineStr">
        <is>
          <t>Additional Completions (high)</t>
        </is>
      </c>
      <c r="B19" s="14" t="n">
        <v>4423.735562399999</v>
      </c>
    </row>
    <row r="20">
      <c r="A20" s="3" t="inlineStr">
        <is>
          <t>Uplift (low)</t>
        </is>
      </c>
      <c r="B20" s="14" t="n">
        <v>433.2985787148481</v>
      </c>
    </row>
    <row r="21">
      <c r="A21" s="3" t="inlineStr">
        <is>
          <t>Uplift (high)</t>
        </is>
      </c>
      <c r="B21" s="14" t="n">
        <v>606.6180102007871</v>
      </c>
    </row>
    <row r="23">
      <c r="A23" s="1" t="inlineStr">
        <is>
          <t>OUTPUT</t>
        </is>
      </c>
    </row>
    <row r="24">
      <c r="A24" s="60" t="inlineStr">
        <is>
          <t>Additional Conversions (low)</t>
        </is>
      </c>
      <c r="B24" s="61" t="n">
        <v>433.2985787148481</v>
      </c>
    </row>
    <row r="25">
      <c r="A25" s="60" t="inlineStr">
        <is>
          <t>Additional Conversions (high)</t>
        </is>
      </c>
      <c r="B25" s="61" t="n">
        <v>606.6180102007871</v>
      </c>
    </row>
    <row r="26">
      <c r="A26" s="60" t="inlineStr">
        <is>
          <t>Uplift % pts (low)</t>
        </is>
      </c>
      <c r="B26" s="62" t="n">
        <v>0.006338481256800001</v>
      </c>
    </row>
    <row r="27">
      <c r="A27" s="60" t="inlineStr">
        <is>
          <t>Uplift % pts (high)</t>
        </is>
      </c>
      <c r="B27" s="62" t="n">
        <v>0.008873873759519998</v>
      </c>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2:C30"/>
  <sheetViews>
    <sheetView zoomScaleNormal="100" workbookViewId="0">
      <selection activeCell="B8" sqref="B8"/>
    </sheetView>
  </sheetViews>
  <sheetFormatPr baseColWidth="10" defaultColWidth="8.83203125" defaultRowHeight="15" customHeight="1"/>
  <cols>
    <col width="40" customWidth="1" min="1" max="1"/>
    <col width="15" customWidth="1" min="2" max="2"/>
    <col width="50" customWidth="1" min="3" max="3"/>
  </cols>
  <sheetData>
    <row r="2">
      <c r="A2" s="43" t="inlineStr">
        <is>
          <t>UPLIFT ASSUMPTIONS</t>
        </is>
      </c>
    </row>
    <row r="3">
      <c r="A3" s="44" t="inlineStr">
        <is>
          <t>Shift % for HRD &lt;30min to COUNTER (low)</t>
        </is>
      </c>
      <c r="B3" s="45" t="n">
        <v>0.2</v>
      </c>
      <c r="C3" s="46" t="inlineStr">
        <is>
          <t>Source: Conservative estimate</t>
        </is>
      </c>
    </row>
    <row r="4">
      <c r="A4" s="44" t="inlineStr">
        <is>
          <t>Shift % for HRD &lt;30min to COUNTER (high)</t>
        </is>
      </c>
      <c r="B4" s="45" t="n">
        <v>0.3</v>
      </c>
      <c r="C4" s="46" t="inlineStr">
        <is>
          <t>Source: Optimistic estimate</t>
        </is>
      </c>
    </row>
    <row r="5">
      <c r="A5" s="46" t="inlineStr">
        <is>
          <t>Shift % for HRD 30min-1hr to COUNTER (low)</t>
        </is>
      </c>
      <c r="B5" s="46" t="n">
        <v>0.3</v>
      </c>
      <c r="C5" s="46" t="inlineStr">
        <is>
          <t>Source: Conservative estimate</t>
        </is>
      </c>
    </row>
    <row r="6">
      <c r="A6" s="46" t="inlineStr">
        <is>
          <t>Shift % for HRD 30min-1hr to COUNTER (high)</t>
        </is>
      </c>
      <c r="B6" s="46" t="n">
        <v>0.45</v>
      </c>
      <c r="C6" s="46" t="inlineStr">
        <is>
          <t>Source: Optimistic estimate</t>
        </is>
      </c>
    </row>
    <row r="7">
      <c r="A7" s="3" t="n"/>
      <c r="B7" s="14" t="n"/>
    </row>
    <row r="8">
      <c r="A8" s="52" t="inlineStr">
        <is>
          <t>BASELINE INPUTS</t>
        </is>
      </c>
      <c r="B8" s="14" t="n"/>
    </row>
    <row r="9">
      <c r="A9" s="44" t="inlineStr">
        <is>
          <t>HRD &lt;30min Records</t>
        </is>
      </c>
      <c r="B9" s="45">
        <f>INPUT_Baseline!C25</f>
        <v/>
      </c>
      <c r="C9" s="46" t="n"/>
    </row>
    <row r="10">
      <c r="A10" s="44" t="inlineStr">
        <is>
          <t>HRD 30min-1hr Records</t>
        </is>
      </c>
      <c r="B10" s="45">
        <f>INPUT_Baseline!C26</f>
        <v/>
      </c>
      <c r="C10" s="46" t="n"/>
    </row>
    <row r="11">
      <c r="A11" s="44" t="inlineStr">
        <is>
          <t>COUNTER Conversion Rate</t>
        </is>
      </c>
      <c r="B11" s="47">
        <f>INPUT_Baseline!C8</f>
        <v/>
      </c>
      <c r="C11" s="46" t="n"/>
    </row>
    <row r="12">
      <c r="A12" s="46" t="inlineStr">
        <is>
          <t>HRD Conversion Rate</t>
        </is>
      </c>
      <c r="B12" s="63">
        <f>INPUT_Baseline!C9</f>
        <v/>
      </c>
      <c r="C12" s="46" t="n"/>
    </row>
    <row r="13">
      <c r="A13" s="46" t="inlineStr">
        <is>
          <t>Total Records (for pp calc)</t>
        </is>
      </c>
      <c r="B13" s="64">
        <f>INPUT_Baseline!B2</f>
        <v/>
      </c>
      <c r="C13" s="46" t="n"/>
    </row>
    <row r="14">
      <c r="A14" s="3" t="n"/>
      <c r="B14" s="14" t="n"/>
    </row>
    <row r="15">
      <c r="A15" s="52" t="inlineStr">
        <is>
          <t>CALCULATION</t>
        </is>
      </c>
      <c r="B15" s="14" t="n"/>
    </row>
    <row r="16">
      <c r="A16" s="48" t="inlineStr">
        <is>
          <t>Volume Shifted &lt;30min (low)</t>
        </is>
      </c>
      <c r="B16" s="51">
        <f>B9*B3</f>
        <v/>
      </c>
      <c r="C16" s="50" t="n"/>
    </row>
    <row r="17">
      <c r="A17" s="48" t="inlineStr">
        <is>
          <t>Volume Shifted 30min-1hr (low)</t>
        </is>
      </c>
      <c r="B17" s="49">
        <f>B10*B5</f>
        <v/>
      </c>
      <c r="C17" s="50" t="n"/>
    </row>
    <row r="18">
      <c r="A18" s="48" t="inlineStr">
        <is>
          <t>Total Volume Shifted (low)</t>
        </is>
      </c>
      <c r="B18" s="51">
        <f>B16+B17</f>
        <v/>
      </c>
      <c r="C18" s="50" t="n"/>
    </row>
    <row r="19">
      <c r="A19" s="50" t="inlineStr">
        <is>
          <t>Volume Shifted &lt;30min (high)</t>
        </is>
      </c>
      <c r="B19" s="50">
        <f>B9*B4</f>
        <v/>
      </c>
      <c r="C19" s="50" t="n"/>
    </row>
    <row r="20">
      <c r="A20" s="50" t="inlineStr">
        <is>
          <t>Volume Shifted 30min-1hr (high)</t>
        </is>
      </c>
      <c r="B20" s="50">
        <f>B10*B6</f>
        <v/>
      </c>
      <c r="C20" s="50" t="n"/>
    </row>
    <row r="21">
      <c r="A21" s="48" t="inlineStr">
        <is>
          <t>Total Volume Shifted (high)</t>
        </is>
      </c>
      <c r="B21" s="51">
        <f>B19+B20</f>
        <v/>
      </c>
      <c r="C21" s="50" t="n"/>
    </row>
    <row r="22">
      <c r="A22" s="48" t="inlineStr">
        <is>
          <t>Conversion Delta (COUNTER vs HRD)</t>
        </is>
      </c>
      <c r="B22" s="65">
        <f>B11-B12</f>
        <v/>
      </c>
      <c r="C22" s="50" t="n"/>
    </row>
    <row r="23">
      <c r="A23" s="50" t="inlineStr">
        <is>
          <t>Uplift (low)</t>
        </is>
      </c>
      <c r="B23" s="50">
        <f>B18*B22</f>
        <v/>
      </c>
      <c r="C23" s="50" t="n"/>
    </row>
    <row r="24">
      <c r="A24" s="50" t="inlineStr">
        <is>
          <t>Uplift (high)</t>
        </is>
      </c>
      <c r="B24" s="50">
        <f>B21*B22</f>
        <v/>
      </c>
      <c r="C24" s="50" t="n"/>
    </row>
    <row r="26">
      <c r="A26" s="43" t="inlineStr">
        <is>
          <t>OUTPUT</t>
        </is>
      </c>
    </row>
    <row r="27">
      <c r="A27" s="54" t="inlineStr">
        <is>
          <t>Additional Conversions (low)</t>
        </is>
      </c>
      <c r="B27" s="54">
        <f>B23</f>
        <v/>
      </c>
      <c r="C27" s="54" t="n"/>
    </row>
    <row r="28">
      <c r="A28" s="54" t="inlineStr">
        <is>
          <t>Additional Conversions (high)</t>
        </is>
      </c>
      <c r="B28" s="54">
        <f>B24</f>
        <v/>
      </c>
      <c r="C28" s="54" t="n"/>
    </row>
    <row r="29">
      <c r="A29" s="54" t="inlineStr">
        <is>
          <t>Uplift % pts (low)</t>
        </is>
      </c>
      <c r="B29" s="54">
        <f>B27/B13</f>
        <v/>
      </c>
      <c r="C29" s="54" t="n"/>
    </row>
    <row r="30">
      <c r="A30" s="54" t="inlineStr">
        <is>
          <t>Uplift % pts (high)</t>
        </is>
      </c>
      <c r="B30" s="54">
        <f>B28/B13</f>
        <v/>
      </c>
      <c r="C30" s="54" t="n"/>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2:C21"/>
  <sheetViews>
    <sheetView zoomScaleNormal="100" workbookViewId="0">
      <selection activeCell="G25" sqref="G25"/>
    </sheetView>
  </sheetViews>
  <sheetFormatPr baseColWidth="10" defaultColWidth="8.83203125" defaultRowHeight="15" customHeight="1"/>
  <cols>
    <col width="40" customWidth="1" min="1" max="1"/>
    <col width="15" customWidth="1" min="2" max="2"/>
    <col width="50" customWidth="1" min="3" max="3"/>
  </cols>
  <sheetData>
    <row r="2">
      <c r="A2" s="43" t="inlineStr">
        <is>
          <t>UPLIFT ASSUMPTIONS</t>
        </is>
      </c>
    </row>
    <row r="3">
      <c r="A3" s="44" t="inlineStr">
        <is>
          <t>COUNTER Conversion Improvement (low)</t>
        </is>
      </c>
      <c r="B3" s="45" t="n">
        <v>0.03</v>
      </c>
      <c r="C3" s="46" t="inlineStr">
        <is>
          <t>Source: Conservative estimate</t>
        </is>
      </c>
    </row>
    <row r="4">
      <c r="A4" s="44" t="inlineStr">
        <is>
          <t>COUNTER Conversion Improvement (high)</t>
        </is>
      </c>
      <c r="B4" s="45" t="n">
        <v>0.05</v>
      </c>
      <c r="C4" s="46" t="inlineStr">
        <is>
          <t>Source: Optimistic estimate</t>
        </is>
      </c>
    </row>
    <row r="5">
      <c r="A5" s="46" t="inlineStr">
        <is>
          <t>Current COUNTER conversion rate</t>
        </is>
      </c>
      <c r="B5" s="63">
        <f>INPUT_Baseline!C8</f>
        <v/>
      </c>
      <c r="C5" s="46" t="n"/>
    </row>
    <row r="6">
      <c r="A6" s="1" t="n"/>
    </row>
    <row r="7">
      <c r="A7" s="52" t="inlineStr">
        <is>
          <t>BASELINE INPUTS</t>
        </is>
      </c>
      <c r="B7" s="14" t="n"/>
    </row>
    <row r="8">
      <c r="A8" s="44" t="inlineStr">
        <is>
          <t>COUNTER Records</t>
        </is>
      </c>
      <c r="B8" s="47">
        <f>INPUT_Baseline!B8</f>
        <v/>
      </c>
      <c r="C8" s="46" t="n"/>
    </row>
    <row r="9">
      <c r="A9" s="46" t="inlineStr">
        <is>
          <t>Total Records (for pp calc)</t>
        </is>
      </c>
      <c r="B9" s="64">
        <f>INPUT_Baseline!B2</f>
        <v/>
      </c>
      <c r="C9" s="46" t="n"/>
    </row>
    <row r="10">
      <c r="A10" s="1" t="n"/>
    </row>
    <row r="11">
      <c r="A11" s="52" t="inlineStr">
        <is>
          <t>CALCULATION</t>
        </is>
      </c>
      <c r="B11" s="14" t="n"/>
    </row>
    <row r="12">
      <c r="A12" s="48" t="inlineStr">
        <is>
          <t>Conversion Improvement (low)</t>
        </is>
      </c>
      <c r="B12" s="49">
        <f>B3*B5</f>
        <v/>
      </c>
      <c r="C12" s="50" t="n"/>
    </row>
    <row r="13">
      <c r="A13" s="48" t="inlineStr">
        <is>
          <t>Conversion Improvement (high)</t>
        </is>
      </c>
      <c r="B13" s="51">
        <f>B4*B5</f>
        <v/>
      </c>
      <c r="C13" s="50" t="n"/>
    </row>
    <row r="14">
      <c r="A14" s="50" t="inlineStr">
        <is>
          <t>Uplift (low)</t>
        </is>
      </c>
      <c r="B14" s="50">
        <f>B8*B12</f>
        <v/>
      </c>
      <c r="C14" s="50" t="n"/>
    </row>
    <row r="15">
      <c r="A15" s="50" t="inlineStr">
        <is>
          <t>Uplift (high)</t>
        </is>
      </c>
      <c r="B15" s="50">
        <f>B8*B13</f>
        <v/>
      </c>
      <c r="C15" s="50" t="n"/>
    </row>
    <row r="16">
      <c r="A16" s="60" t="n"/>
      <c r="B16" s="66" t="n"/>
    </row>
    <row r="17">
      <c r="A17" s="52" t="inlineStr">
        <is>
          <t>OUTPUT</t>
        </is>
      </c>
      <c r="B17" s="67" t="n"/>
    </row>
    <row r="18">
      <c r="A18" s="54" t="inlineStr">
        <is>
          <t>Additional Conversions (low)</t>
        </is>
      </c>
      <c r="B18" s="54">
        <f>B14</f>
        <v/>
      </c>
      <c r="C18" s="54" t="n"/>
    </row>
    <row r="19">
      <c r="A19" s="54" t="inlineStr">
        <is>
          <t>Additional Conversions (high)</t>
        </is>
      </c>
      <c r="B19" s="54">
        <f>B15</f>
        <v/>
      </c>
      <c r="C19" s="54" t="n"/>
    </row>
    <row r="20">
      <c r="A20" s="54" t="inlineStr">
        <is>
          <t>Uplift % pts (low)</t>
        </is>
      </c>
      <c r="B20" s="54">
        <f>B18/B9</f>
        <v/>
      </c>
      <c r="C20" s="54" t="n"/>
    </row>
    <row r="21">
      <c r="A21" s="54" t="inlineStr">
        <is>
          <t>Uplift % pts (high)</t>
        </is>
      </c>
      <c r="B21" s="54">
        <f>B19/B9</f>
        <v/>
      </c>
      <c r="C21" s="54" t="n"/>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2:C25"/>
  <sheetViews>
    <sheetView zoomScaleNormal="100" workbookViewId="0">
      <selection activeCell="D15" sqref="D15"/>
    </sheetView>
  </sheetViews>
  <sheetFormatPr baseColWidth="10" defaultColWidth="8.83203125" defaultRowHeight="15" customHeight="1"/>
  <cols>
    <col width="40" customWidth="1" min="1" max="1"/>
    <col width="18" customWidth="1" min="2" max="2"/>
    <col width="45" customWidth="1" min="3" max="3"/>
  </cols>
  <sheetData>
    <row r="2">
      <c r="A2" s="43" t="inlineStr">
        <is>
          <t>UPLIFT ASSUMPTIONS</t>
        </is>
      </c>
    </row>
    <row r="3">
      <c r="A3" s="44" t="inlineStr">
        <is>
          <t>Bodyshop Flip % of Cancellations (low)</t>
        </is>
      </c>
      <c r="B3" s="45" t="n">
        <v>0.03</v>
      </c>
      <c r="C3" s="44" t="inlineStr">
        <is>
          <t>Source: Conservative estimate</t>
        </is>
      </c>
    </row>
    <row r="4">
      <c r="A4" s="44" t="inlineStr">
        <is>
          <t>Bodyshop Flip % of Cancellations (high)</t>
        </is>
      </c>
      <c r="B4" s="45" t="n">
        <v>0.05</v>
      </c>
      <c r="C4" s="44" t="inlineStr">
        <is>
          <t>Source: Optimistic estimate</t>
        </is>
      </c>
    </row>
    <row r="5">
      <c r="A5" s="46" t="inlineStr">
        <is>
          <t>Prevention Rate with initiative (low)</t>
        </is>
      </c>
      <c r="B5" s="46" t="n">
        <v>0.5</v>
      </c>
      <c r="C5" s="46" t="inlineStr">
        <is>
          <t>Source: Conservative estimate</t>
        </is>
      </c>
    </row>
    <row r="6">
      <c r="A6" s="46" t="inlineStr">
        <is>
          <t>Prevention Rate with initiative (high)</t>
        </is>
      </c>
      <c r="B6" s="46" t="n">
        <v>0.75</v>
      </c>
      <c r="C6" s="46" t="inlineStr">
        <is>
          <t>Source: Optimistic estimate</t>
        </is>
      </c>
    </row>
    <row r="7">
      <c r="A7" s="9" t="n"/>
      <c r="B7" s="4" t="n"/>
    </row>
    <row r="8">
      <c r="A8" s="52" t="inlineStr">
        <is>
          <t>BASELINE INPUTS</t>
        </is>
      </c>
      <c r="B8" s="16" t="n"/>
    </row>
    <row r="9">
      <c r="A9" s="46" t="inlineStr">
        <is>
          <t>Total Records</t>
        </is>
      </c>
      <c r="B9" s="64">
        <f>INPUT_Baseline!B2</f>
        <v/>
      </c>
      <c r="C9" s="46" t="n"/>
    </row>
    <row r="10">
      <c r="A10" s="46" t="inlineStr">
        <is>
          <t>Current Conversion Rate</t>
        </is>
      </c>
      <c r="B10" s="63">
        <f>INPUT_Baseline!B3</f>
        <v/>
      </c>
      <c r="C10" s="46" t="n"/>
    </row>
    <row r="11">
      <c r="A11" s="3" t="n"/>
      <c r="B11" s="14" t="n"/>
    </row>
    <row r="12">
      <c r="A12" s="52" t="inlineStr">
        <is>
          <t>CALCULATION</t>
        </is>
      </c>
      <c r="B12" s="14" t="n"/>
    </row>
    <row r="13">
      <c r="A13" s="48" t="inlineStr">
        <is>
          <t>Total Cancellations</t>
        </is>
      </c>
      <c r="B13" s="51">
        <f>B9*(1-B10)</f>
        <v/>
      </c>
      <c r="C13" s="50" t="n"/>
    </row>
    <row r="14">
      <c r="A14" s="48" t="inlineStr">
        <is>
          <t>Bodyshop Flips (low)</t>
        </is>
      </c>
      <c r="B14" s="51">
        <f>B13*B3</f>
        <v/>
      </c>
      <c r="C14" s="50" t="n"/>
    </row>
    <row r="15">
      <c r="A15" s="50" t="inlineStr">
        <is>
          <t>Bodyshop Flips (high)</t>
        </is>
      </c>
      <c r="B15" s="50">
        <f>B13*B4</f>
        <v/>
      </c>
      <c r="C15" s="50" t="n"/>
    </row>
    <row r="16">
      <c r="A16" s="50" t="inlineStr">
        <is>
          <t>Flips Prevented (low)</t>
        </is>
      </c>
      <c r="B16" s="50">
        <f>B14*B5</f>
        <v/>
      </c>
      <c r="C16" s="50" t="n"/>
    </row>
    <row r="17">
      <c r="A17" s="48" t="inlineStr">
        <is>
          <t>Flips Prevented (high)</t>
        </is>
      </c>
      <c r="B17" s="51">
        <f>B15*B6</f>
        <v/>
      </c>
      <c r="C17" s="50" t="n"/>
    </row>
    <row r="18">
      <c r="A18" s="48" t="inlineStr">
        <is>
          <t>Uplift (low)</t>
        </is>
      </c>
      <c r="B18" s="68">
        <f>B16</f>
        <v/>
      </c>
      <c r="C18" s="50" t="n"/>
    </row>
    <row r="19">
      <c r="A19" s="50" t="inlineStr">
        <is>
          <t>Uplift (high)</t>
        </is>
      </c>
      <c r="B19" s="69">
        <f>B17</f>
        <v/>
      </c>
      <c r="C19" s="50" t="n"/>
    </row>
    <row r="21">
      <c r="A21" s="43" t="inlineStr">
        <is>
          <t>OUTPUT</t>
        </is>
      </c>
    </row>
    <row r="22">
      <c r="A22" s="54" t="inlineStr">
        <is>
          <t>Additional Conversions (low)</t>
        </is>
      </c>
      <c r="B22" s="70">
        <f>B18</f>
        <v/>
      </c>
      <c r="C22" s="54" t="n"/>
    </row>
    <row r="23">
      <c r="A23" s="54" t="inlineStr">
        <is>
          <t>Additional Conversions (high)</t>
        </is>
      </c>
      <c r="B23" s="59">
        <f>B19</f>
        <v/>
      </c>
      <c r="C23" s="54" t="n"/>
    </row>
    <row r="24">
      <c r="A24" s="54" t="inlineStr">
        <is>
          <t>Uplift % pts (low)</t>
        </is>
      </c>
      <c r="B24" s="54">
        <f>B22/B9</f>
        <v/>
      </c>
      <c r="C24" s="54" t="n"/>
    </row>
    <row r="25">
      <c r="A25" s="54" t="inlineStr">
        <is>
          <t>Uplift % pts (high)</t>
        </is>
      </c>
      <c r="B25" s="54">
        <f>B23/B9</f>
        <v/>
      </c>
      <c r="C25" s="54"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2026-01-23T17:57:57Z</dcterms:created>
  <dcterms:modified xsi:type="dcterms:W3CDTF">2026-02-05T05:45:41Z</dcterms:modified>
  <cp:lastModifiedBy>Sia, Daniel (BAN)</cp:lastModifiedBy>
  <cp:revision>0</cp:revision>
</cp:coreProperties>
</file>